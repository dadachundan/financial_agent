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Model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DCF Inputs" sheetId="5" state="visible" r:id="rId5"/>
    <sheet xmlns:r="http://schemas.openxmlformats.org/officeDocument/2006/relationships" name="Scenarios" sheetId="6" state="visible" r:id="rId6"/>
    <sheet xmlns:r="http://schemas.openxmlformats.org/officeDocument/2006/relationships" name="DCF" sheetId="7" state="visible" r:id="rId7"/>
    <sheet xmlns:r="http://schemas.openxmlformats.org/officeDocument/2006/relationships" name="Sensitivity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Valuation 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#,##0;(#,##0);&quot;-&quot;"/>
    <numFmt numFmtId="165" formatCode="0.0%;(0.0%);&quot;-&quot;"/>
    <numFmt numFmtId="166" formatCode="&quot;$&quot;#,##0.00"/>
    <numFmt numFmtId="167" formatCode="0.00;(0.00);&quot;-&quot;"/>
    <numFmt numFmtId="168" formatCode="#,##0.0;(#,##0.0);&quot;-&quot;"/>
    <numFmt numFmtId="169" formatCode="0.0&quot;x&quot;"/>
    <numFmt numFmtId="170" formatCode="0.0000"/>
    <numFmt numFmtId="171" formatCode="0.00&quot;x&quot;"/>
    <numFmt numFmtId="172" formatCode="0.00;(0.00);&quot;n/m&quot;"/>
  </numFmts>
  <fonts count="12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i val="1"/>
      <color rgb="00666666"/>
      <sz val="10"/>
    </font>
    <font>
      <name val="Times New Roman"/>
      <i val="1"/>
      <color rgb="00666666"/>
      <sz val="9"/>
    </font>
    <font>
      <name val="Times New Roman"/>
      <b val="1"/>
      <color rgb="00000000"/>
      <sz val="10"/>
    </font>
    <font>
      <name val="Times New Roman"/>
      <color rgb="000000FF"/>
      <sz val="10"/>
    </font>
    <font>
      <name val="Times New Roman"/>
      <color rgb="00000000"/>
      <sz val="10"/>
    </font>
    <font>
      <name val="Times New Roman"/>
      <color rgb="00006100"/>
      <sz val="10"/>
    </font>
    <font>
      <name val="Times New Roman"/>
      <b val="1"/>
      <color rgb="00FFFFFF"/>
      <sz val="12"/>
    </font>
    <font>
      <name val="Times New Roman"/>
      <b val="1"/>
      <color rgb="00FFFFFF"/>
      <sz val="10"/>
    </font>
    <font>
      <name val="Times New Roman"/>
      <b val="1"/>
      <color rgb="000000FF"/>
      <sz val="10"/>
    </font>
    <font>
      <name val="Times New Roman"/>
      <b val="1"/>
      <color rgb="00006100"/>
      <sz val="12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002060"/>
      </patternFill>
    </fill>
    <fill>
      <patternFill patternType="solid">
        <fgColor rgb="00F2F2F2"/>
      </patternFill>
    </fill>
  </fills>
  <borders count="4">
    <border>
      <left/>
      <right/>
      <top/>
      <bottom/>
      <diagonal/>
    </border>
    <border>
      <bottom style="thin">
        <color rgb="00000000"/>
      </bottom>
    </border>
    <border>
      <top style="thin">
        <color rgb="00000000"/>
      </top>
    </border>
    <border>
      <bottom style="double">
        <color rgb="00000000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8" fillId="3" borderId="0" pivotButton="0" quotePrefix="0" xfId="0"/>
    <xf numFmtId="0" fontId="0" fillId="3" borderId="0" pivotButton="0" quotePrefix="0" xfId="0"/>
    <xf numFmtId="0" fontId="4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 indent="1"/>
    </xf>
    <xf numFmtId="164" fontId="5" fillId="0" borderId="0" applyAlignment="1" pivotButton="0" quotePrefix="0" xfId="0">
      <alignment horizontal="right"/>
    </xf>
    <xf numFmtId="164" fontId="4" fillId="0" borderId="0" applyAlignment="1" pivotButton="0" quotePrefix="0" xfId="0">
      <alignment horizontal="right"/>
    </xf>
    <xf numFmtId="164" fontId="4" fillId="4" borderId="0" applyAlignment="1" pivotButton="0" quotePrefix="0" xfId="0">
      <alignment horizontal="right"/>
    </xf>
    <xf numFmtId="164" fontId="6" fillId="0" borderId="0" applyAlignment="1" pivotButton="0" quotePrefix="0" xfId="0">
      <alignment horizontal="right"/>
    </xf>
    <xf numFmtId="164" fontId="4" fillId="4" borderId="2" applyAlignment="1" pivotButton="0" quotePrefix="0" xfId="0">
      <alignment horizontal="right"/>
    </xf>
    <xf numFmtId="0" fontId="6" fillId="0" borderId="0" applyAlignment="1" pivotButton="0" quotePrefix="0" xfId="0">
      <alignment horizontal="left" indent="2"/>
    </xf>
    <xf numFmtId="165" fontId="6" fillId="0" borderId="0" applyAlignment="1" pivotButton="0" quotePrefix="0" xfId="0">
      <alignment horizontal="right"/>
    </xf>
    <xf numFmtId="166" fontId="6" fillId="0" borderId="0" applyAlignment="1" pivotButton="0" quotePrefix="0" xfId="0">
      <alignment horizontal="right"/>
    </xf>
    <xf numFmtId="164" fontId="7" fillId="0" borderId="0" applyAlignment="1" pivotButton="0" quotePrefix="0" xfId="0">
      <alignment horizontal="right"/>
    </xf>
    <xf numFmtId="165" fontId="5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left"/>
    </xf>
    <xf numFmtId="164" fontId="4" fillId="4" borderId="3" applyAlignment="1" pivotButton="0" quotePrefix="0" xfId="0">
      <alignment horizontal="right"/>
    </xf>
    <xf numFmtId="167" fontId="6" fillId="0" borderId="0" applyAlignment="1" pivotButton="0" quotePrefix="0" xfId="0">
      <alignment horizontal="right"/>
    </xf>
    <xf numFmtId="165" fontId="7" fillId="0" borderId="0" applyAlignment="1" pivotButton="0" quotePrefix="0" xfId="0">
      <alignment horizontal="right"/>
    </xf>
    <xf numFmtId="2" fontId="5" fillId="0" borderId="0" applyAlignment="1" pivotButton="0" quotePrefix="0" xfId="0">
      <alignment horizontal="right"/>
    </xf>
    <xf numFmtId="168" fontId="5" fillId="0" borderId="0" applyAlignment="1" pivotButton="0" quotePrefix="0" xfId="0">
      <alignment horizontal="right"/>
    </xf>
    <xf numFmtId="0" fontId="4" fillId="0" borderId="0" pivotButton="0" quotePrefix="0" xfId="0"/>
    <xf numFmtId="0" fontId="9" fillId="3" borderId="0" applyAlignment="1" pivotButton="0" quotePrefix="0" xfId="0">
      <alignment horizontal="center"/>
    </xf>
    <xf numFmtId="0" fontId="4" fillId="2" borderId="0" pivotButton="0" quotePrefix="0" xfId="0"/>
    <xf numFmtId="0" fontId="0" fillId="2" borderId="0" pivotButton="0" quotePrefix="0" xfId="0"/>
    <xf numFmtId="0" fontId="4" fillId="0" borderId="0" applyAlignment="1" pivotButton="0" quotePrefix="0" xfId="0">
      <alignment horizontal="left" indent="1"/>
    </xf>
    <xf numFmtId="164" fontId="10" fillId="0" borderId="0" applyAlignment="1" pivotButton="0" quotePrefix="0" xfId="0">
      <alignment horizontal="right"/>
    </xf>
    <xf numFmtId="166" fontId="5" fillId="0" borderId="0" applyAlignment="1" pivotButton="0" quotePrefix="0" xfId="0">
      <alignment horizontal="right"/>
    </xf>
    <xf numFmtId="0" fontId="6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/>
    </xf>
    <xf numFmtId="165" fontId="4" fillId="0" borderId="0" applyAlignment="1" pivotButton="0" quotePrefix="0" xfId="0">
      <alignment horizontal="right"/>
    </xf>
    <xf numFmtId="165" fontId="4" fillId="4" borderId="0" applyAlignment="1" pivotButton="0" quotePrefix="0" xfId="0">
      <alignment horizontal="right"/>
    </xf>
    <xf numFmtId="169" fontId="5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170" fontId="6" fillId="0" borderId="0" applyAlignment="1" pivotButton="0" quotePrefix="0" xfId="0">
      <alignment horizontal="right"/>
    </xf>
    <xf numFmtId="166" fontId="4" fillId="4" borderId="0" applyAlignment="1" pivotButton="0" quotePrefix="0" xfId="0">
      <alignment horizontal="right"/>
    </xf>
    <xf numFmtId="166" fontId="7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center"/>
    </xf>
    <xf numFmtId="165" fontId="4" fillId="2" borderId="0" applyAlignment="1" pivotButton="0" quotePrefix="0" xfId="0">
      <alignment horizontal="center"/>
    </xf>
    <xf numFmtId="169" fontId="4" fillId="2" borderId="0" applyAlignment="1" pivotButton="0" quotePrefix="0" xfId="0">
      <alignment horizontal="center"/>
    </xf>
    <xf numFmtId="164" fontId="0" fillId="0" borderId="0" applyAlignment="1" pivotButton="0" quotePrefix="0" xfId="0">
      <alignment horizontal="right"/>
    </xf>
    <xf numFmtId="171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72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4" fillId="4" borderId="0" pivotButton="0" quotePrefix="0" xfId="0"/>
    <xf numFmtId="0" fontId="0" fillId="4" borderId="0" pivotButton="0" quotePrefix="0" xfId="0"/>
    <xf numFmtId="0" fontId="4" fillId="4" borderId="0" applyAlignment="1" pivotButton="0" quotePrefix="0" xfId="0">
      <alignment horizontal="left"/>
    </xf>
    <xf numFmtId="171" fontId="4" fillId="4" borderId="0" applyAlignment="1" pivotButton="0" quotePrefix="0" xfId="0">
      <alignment horizontal="right"/>
    </xf>
    <xf numFmtId="2" fontId="4" fillId="4" borderId="0" applyAlignment="1" pivotButton="0" quotePrefix="0" xfId="0">
      <alignment horizontal="right"/>
    </xf>
    <xf numFmtId="171" fontId="6" fillId="0" borderId="0" applyAlignment="1" pivotButton="0" quotePrefix="0" xfId="0">
      <alignment horizontal="right"/>
    </xf>
    <xf numFmtId="171" fontId="5" fillId="0" borderId="0" applyAlignment="1" pivotButton="0" quotePrefix="0" xfId="0">
      <alignment horizontal="right"/>
    </xf>
    <xf numFmtId="166" fontId="4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66" fontId="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right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HESAI GROUP — REVENUE MODEL</t>
        </is>
      </c>
      <c r="H1" s="2" t="inlineStr">
        <is>
          <t>Blue = input</t>
        </is>
      </c>
    </row>
    <row r="2">
      <c r="A2" s="3" t="inlineStr">
        <is>
          <t>Detailed revenue build by product and geography (RMB thousands)</t>
        </is>
      </c>
      <c r="H2" s="4" t="inlineStr">
        <is>
          <t>Black = formula</t>
        </is>
      </c>
    </row>
    <row r="3">
      <c r="H3" s="5" t="inlineStr">
        <is>
          <t>Green = link</t>
        </is>
      </c>
    </row>
    <row r="4">
      <c r="A4" s="6" t="inlineStr">
        <is>
          <t>(RMB thousands)</t>
        </is>
      </c>
      <c r="B4" s="7" t="inlineStr">
        <is>
          <t>FY22A</t>
        </is>
      </c>
      <c r="C4" s="7" t="inlineStr">
        <is>
          <t>FY23A</t>
        </is>
      </c>
      <c r="D4" s="7" t="inlineStr">
        <is>
          <t>FY24A</t>
        </is>
      </c>
      <c r="E4" s="7" t="inlineStr">
        <is>
          <t>FY25A</t>
        </is>
      </c>
      <c r="F4" s="7" t="inlineStr">
        <is>
          <t>FY26E</t>
        </is>
      </c>
      <c r="G4" s="7" t="inlineStr">
        <is>
          <t>FY27E</t>
        </is>
      </c>
      <c r="H4" s="7" t="inlineStr">
        <is>
          <t>FY28E</t>
        </is>
      </c>
      <c r="I4" s="7" t="inlineStr">
        <is>
          <t>FY29E</t>
        </is>
      </c>
      <c r="J4" s="7" t="inlineStr">
        <is>
          <t>FY30E</t>
        </is>
      </c>
    </row>
    <row r="6">
      <c r="A6" s="8" t="inlineStr">
        <is>
          <t>A. REVENUE BUILD BY PRODUCT (Units × ASP)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</row>
    <row r="7">
      <c r="A7" s="10" t="inlineStr">
        <is>
          <t>UNIT SHIPMENTS (thousand)</t>
        </is>
      </c>
    </row>
    <row r="8">
      <c r="A8" s="11" t="inlineStr">
        <is>
          <t>ADAS — Long-range (AT-series)</t>
        </is>
      </c>
      <c r="B8" s="12" t="n">
        <v>20</v>
      </c>
      <c r="C8" s="12" t="n">
        <v>175</v>
      </c>
      <c r="D8" s="12" t="n">
        <v>410</v>
      </c>
      <c r="E8" s="12" t="n">
        <v>1280</v>
      </c>
      <c r="F8" s="12" t="n">
        <v>2550</v>
      </c>
      <c r="G8" s="12" t="n">
        <v>3800</v>
      </c>
      <c r="H8" s="12" t="n">
        <v>4900</v>
      </c>
      <c r="I8" s="12" t="n">
        <v>5800</v>
      </c>
      <c r="J8" s="12" t="n">
        <v>6700</v>
      </c>
    </row>
    <row r="9">
      <c r="A9" s="11" t="inlineStr">
        <is>
          <t>ADAS — Ultra-thin / Blind-spot (ET, FT)</t>
        </is>
      </c>
      <c r="B9" s="12" t="n">
        <v>5</v>
      </c>
      <c r="C9" s="12" t="n">
        <v>20</v>
      </c>
      <c r="D9" s="12" t="n">
        <v>46</v>
      </c>
      <c r="E9" s="12" t="n">
        <v>101</v>
      </c>
      <c r="F9" s="12" t="n">
        <v>150</v>
      </c>
      <c r="G9" s="12" t="n">
        <v>200</v>
      </c>
      <c r="H9" s="12" t="n">
        <v>300</v>
      </c>
      <c r="I9" s="12" t="n">
        <v>400</v>
      </c>
      <c r="J9" s="12" t="n">
        <v>400</v>
      </c>
    </row>
    <row r="10">
      <c r="A10" s="10" t="inlineStr">
        <is>
          <t>ADAS subtotal (units, thousands)</t>
        </is>
      </c>
      <c r="B10" s="13">
        <f>SUM(B8:B9)</f>
        <v/>
      </c>
      <c r="C10" s="13">
        <f>SUM(C8:C9)</f>
        <v/>
      </c>
      <c r="D10" s="13">
        <f>SUM(D8:D9)</f>
        <v/>
      </c>
      <c r="E10" s="13">
        <f>SUM(E8:E9)</f>
        <v/>
      </c>
      <c r="F10" s="13">
        <f>SUM(F8:F9)</f>
        <v/>
      </c>
      <c r="G10" s="13">
        <f>SUM(G8:G9)</f>
        <v/>
      </c>
      <c r="H10" s="13">
        <f>SUM(H8:H9)</f>
        <v/>
      </c>
      <c r="I10" s="13">
        <f>SUM(I8:I9)</f>
        <v/>
      </c>
      <c r="J10" s="13">
        <f>SUM(J8:J9)</f>
        <v/>
      </c>
    </row>
    <row r="11">
      <c r="A11" s="11" t="inlineStr">
        <is>
          <t>Robotics — Robotaxi / Robovan (Pandar/OT/QT)</t>
        </is>
      </c>
      <c r="B11" s="12" t="n">
        <v>55</v>
      </c>
      <c r="C11" s="12" t="n">
        <v>25</v>
      </c>
      <c r="D11" s="12" t="n">
        <v>38</v>
      </c>
      <c r="E11" s="12" t="n">
        <v>75</v>
      </c>
      <c r="F11" s="12" t="n">
        <v>130</v>
      </c>
      <c r="G11" s="12" t="n">
        <v>200</v>
      </c>
      <c r="H11" s="12" t="n">
        <v>280</v>
      </c>
      <c r="I11" s="12" t="n">
        <v>360</v>
      </c>
      <c r="J11" s="12" t="n">
        <v>450</v>
      </c>
    </row>
    <row r="12">
      <c r="A12" s="11" t="inlineStr">
        <is>
          <t>Robotics — Humanoid / Quadruped (JT)</t>
        </is>
      </c>
      <c r="B12" s="12" t="n">
        <v>0</v>
      </c>
      <c r="C12" s="12" t="n">
        <v>0</v>
      </c>
      <c r="D12" s="12" t="n">
        <v>1</v>
      </c>
      <c r="E12" s="12" t="n">
        <v>12</v>
      </c>
      <c r="F12" s="12" t="n">
        <v>70</v>
      </c>
      <c r="G12" s="12" t="n">
        <v>200</v>
      </c>
      <c r="H12" s="12" t="n">
        <v>400</v>
      </c>
      <c r="I12" s="12" t="n">
        <v>600</v>
      </c>
      <c r="J12" s="12" t="n">
        <v>800</v>
      </c>
    </row>
    <row r="13">
      <c r="A13" s="11" t="inlineStr">
        <is>
          <t>Robotics — Lawn-mower / Consumer</t>
        </is>
      </c>
      <c r="B13" s="12" t="n">
        <v>0</v>
      </c>
      <c r="C13" s="12" t="n">
        <v>0</v>
      </c>
      <c r="D13" s="12" t="n">
        <v>1</v>
      </c>
      <c r="E13" s="12" t="n">
        <v>100</v>
      </c>
      <c r="F13" s="12" t="n">
        <v>280</v>
      </c>
      <c r="G13" s="12" t="n">
        <v>450</v>
      </c>
      <c r="H13" s="12" t="n">
        <v>600</v>
      </c>
      <c r="I13" s="12" t="n">
        <v>750</v>
      </c>
      <c r="J13" s="12" t="n">
        <v>900</v>
      </c>
    </row>
    <row r="14">
      <c r="A14" s="11" t="inlineStr">
        <is>
          <t>Robotics — Industrial / AGV / Other</t>
        </is>
      </c>
      <c r="B14" s="12" t="n">
        <v>0</v>
      </c>
      <c r="C14" s="12" t="n">
        <v>2</v>
      </c>
      <c r="D14" s="12" t="n">
        <v>5</v>
      </c>
      <c r="E14" s="12" t="n">
        <v>52</v>
      </c>
      <c r="F14" s="12" t="n">
        <v>120</v>
      </c>
      <c r="G14" s="12" t="n">
        <v>200</v>
      </c>
      <c r="H14" s="12" t="n">
        <v>250</v>
      </c>
      <c r="I14" s="12" t="n">
        <v>300</v>
      </c>
      <c r="J14" s="12" t="n">
        <v>350</v>
      </c>
    </row>
    <row r="15">
      <c r="A15" s="10" t="inlineStr">
        <is>
          <t>Robotics subtotal (units, thousands)</t>
        </is>
      </c>
      <c r="B15" s="13">
        <f>SUM(B11:B14)</f>
        <v/>
      </c>
      <c r="C15" s="13">
        <f>SUM(C11:C14)</f>
        <v/>
      </c>
      <c r="D15" s="13">
        <f>SUM(D11:D14)</f>
        <v/>
      </c>
      <c r="E15" s="13">
        <f>SUM(E11:E14)</f>
        <v/>
      </c>
      <c r="F15" s="13">
        <f>SUM(F11:F14)</f>
        <v/>
      </c>
      <c r="G15" s="13">
        <f>SUM(G11:G14)</f>
        <v/>
      </c>
      <c r="H15" s="13">
        <f>SUM(H11:H14)</f>
        <v/>
      </c>
      <c r="I15" s="13">
        <f>SUM(I11:I14)</f>
        <v/>
      </c>
      <c r="J15" s="13">
        <f>SUM(J11:J14)</f>
        <v/>
      </c>
    </row>
    <row r="16">
      <c r="A16" s="10" t="inlineStr">
        <is>
          <t>TOTAL UNIT SHIPMENTS (thousands)</t>
        </is>
      </c>
      <c r="B16" s="14">
        <f>B10+B15</f>
        <v/>
      </c>
      <c r="C16" s="14">
        <f>C10+C15</f>
        <v/>
      </c>
      <c r="D16" s="14">
        <f>D10+D15</f>
        <v/>
      </c>
      <c r="E16" s="14">
        <f>E10+E15</f>
        <v/>
      </c>
      <c r="F16" s="14">
        <f>F10+F15</f>
        <v/>
      </c>
      <c r="G16" s="14">
        <f>G10+G15</f>
        <v/>
      </c>
      <c r="H16" s="14">
        <f>H10+H15</f>
        <v/>
      </c>
      <c r="I16" s="14">
        <f>I10+I15</f>
        <v/>
      </c>
      <c r="J16" s="14">
        <f>J10+J15</f>
        <v/>
      </c>
    </row>
    <row r="18">
      <c r="A18" s="10" t="inlineStr">
        <is>
          <t>AVG SELLING PRICE (RMB/unit)</t>
        </is>
      </c>
    </row>
    <row r="19">
      <c r="A19" s="11" t="inlineStr">
        <is>
          <t>ADAS — Long-range ASP (RMB/unit)</t>
        </is>
      </c>
      <c r="B19" s="12" t="n">
        <v>6000</v>
      </c>
      <c r="C19" s="12" t="n">
        <v>5000</v>
      </c>
      <c r="D19" s="12" t="n">
        <v>1900</v>
      </c>
      <c r="E19" s="12" t="n">
        <v>1300</v>
      </c>
      <c r="F19" s="12" t="n">
        <v>1000</v>
      </c>
      <c r="G19" s="12" t="n">
        <v>850</v>
      </c>
      <c r="H19" s="12" t="n">
        <v>760</v>
      </c>
      <c r="I19" s="12" t="n">
        <v>690</v>
      </c>
      <c r="J19" s="12" t="n">
        <v>640</v>
      </c>
    </row>
    <row r="20">
      <c r="A20" s="11" t="inlineStr">
        <is>
          <t>ADAS — Ultra-thin / Blind-spot ASP</t>
        </is>
      </c>
      <c r="B20" s="12" t="n">
        <v>4000</v>
      </c>
      <c r="C20" s="12" t="n">
        <v>3500</v>
      </c>
      <c r="D20" s="12" t="n">
        <v>2200</v>
      </c>
      <c r="E20" s="12" t="n">
        <v>1500</v>
      </c>
      <c r="F20" s="12" t="n">
        <v>1200</v>
      </c>
      <c r="G20" s="12" t="n">
        <v>1050</v>
      </c>
      <c r="H20" s="12" t="n">
        <v>950</v>
      </c>
      <c r="I20" s="12" t="n">
        <v>870</v>
      </c>
      <c r="J20" s="12" t="n">
        <v>800</v>
      </c>
    </row>
    <row r="21">
      <c r="A21" s="11" t="inlineStr">
        <is>
          <t>Robotics — Robotaxi ASP</t>
        </is>
      </c>
      <c r="B21" s="12" t="n">
        <v>18000</v>
      </c>
      <c r="C21" s="12" t="n">
        <v>30000</v>
      </c>
      <c r="D21" s="12" t="n">
        <v>25000</v>
      </c>
      <c r="E21" s="12" t="n">
        <v>8000</v>
      </c>
      <c r="F21" s="12" t="n">
        <v>6500</v>
      </c>
      <c r="G21" s="12" t="n">
        <v>5500</v>
      </c>
      <c r="H21" s="12" t="n">
        <v>4800</v>
      </c>
      <c r="I21" s="12" t="n">
        <v>4200</v>
      </c>
      <c r="J21" s="12" t="n">
        <v>3800</v>
      </c>
    </row>
    <row r="22">
      <c r="A22" s="11" t="inlineStr">
        <is>
          <t>Robotics — Humanoid ASP</t>
        </is>
      </c>
      <c r="B22" s="12" t="n">
        <v>0</v>
      </c>
      <c r="C22" s="12" t="n">
        <v>0</v>
      </c>
      <c r="D22" s="12" t="n">
        <v>18000</v>
      </c>
      <c r="E22" s="12" t="n">
        <v>5500</v>
      </c>
      <c r="F22" s="12" t="n">
        <v>4500</v>
      </c>
      <c r="G22" s="12" t="n">
        <v>4000</v>
      </c>
      <c r="H22" s="12" t="n">
        <v>3500</v>
      </c>
      <c r="I22" s="12" t="n">
        <v>3100</v>
      </c>
      <c r="J22" s="12" t="n">
        <v>2800</v>
      </c>
    </row>
    <row r="23">
      <c r="A23" s="11" t="inlineStr">
        <is>
          <t>Robotics — Lawn-mower ASP</t>
        </is>
      </c>
      <c r="B23" s="12" t="n">
        <v>0</v>
      </c>
      <c r="C23" s="12" t="n">
        <v>0</v>
      </c>
      <c r="D23" s="12" t="n">
        <v>4000</v>
      </c>
      <c r="E23" s="12" t="n">
        <v>2000</v>
      </c>
      <c r="F23" s="12" t="n">
        <v>1600</v>
      </c>
      <c r="G23" s="12" t="n">
        <v>1300</v>
      </c>
      <c r="H23" s="12" t="n">
        <v>1100</v>
      </c>
      <c r="I23" s="12" t="n">
        <v>950</v>
      </c>
      <c r="J23" s="12" t="n">
        <v>850</v>
      </c>
    </row>
    <row r="24">
      <c r="A24" s="11" t="inlineStr">
        <is>
          <t>Robotics — Industrial ASP</t>
        </is>
      </c>
      <c r="B24" s="12" t="n">
        <v>0</v>
      </c>
      <c r="C24" s="12" t="n">
        <v>8000</v>
      </c>
      <c r="D24" s="12" t="n">
        <v>7000</v>
      </c>
      <c r="E24" s="12" t="n">
        <v>3500</v>
      </c>
      <c r="F24" s="12" t="n">
        <v>3000</v>
      </c>
      <c r="G24" s="12" t="n">
        <v>2500</v>
      </c>
      <c r="H24" s="12" t="n">
        <v>2200</v>
      </c>
      <c r="I24" s="12" t="n">
        <v>1900</v>
      </c>
      <c r="J24" s="12" t="n">
        <v>1700</v>
      </c>
    </row>
    <row r="26">
      <c r="A26" s="10" t="inlineStr">
        <is>
          <t>REVENUE BY PRODUCT (RMB thousands)</t>
        </is>
      </c>
    </row>
    <row r="27">
      <c r="A27" s="11" t="inlineStr">
        <is>
          <t>ADAS — Long-range revenue</t>
        </is>
      </c>
      <c r="B27" s="15">
        <f>B8*B19</f>
        <v/>
      </c>
      <c r="C27" s="15">
        <f>C8*C19</f>
        <v/>
      </c>
      <c r="D27" s="15">
        <f>D8*D19</f>
        <v/>
      </c>
      <c r="E27" s="15">
        <f>E8*E19</f>
        <v/>
      </c>
      <c r="F27" s="15">
        <f>F8*F19</f>
        <v/>
      </c>
      <c r="G27" s="15">
        <f>G8*G19</f>
        <v/>
      </c>
      <c r="H27" s="15">
        <f>H8*H19</f>
        <v/>
      </c>
      <c r="I27" s="15">
        <f>I8*I19</f>
        <v/>
      </c>
      <c r="J27" s="15">
        <f>J8*J19</f>
        <v/>
      </c>
    </row>
    <row r="28">
      <c r="A28" s="11" t="inlineStr">
        <is>
          <t>ADAS — Ultra-thin/Blind-spot revenue</t>
        </is>
      </c>
      <c r="B28" s="15">
        <f>B9*B20</f>
        <v/>
      </c>
      <c r="C28" s="15">
        <f>C9*C20</f>
        <v/>
      </c>
      <c r="D28" s="15">
        <f>D9*D20</f>
        <v/>
      </c>
      <c r="E28" s="15">
        <f>E9*E20</f>
        <v/>
      </c>
      <c r="F28" s="15">
        <f>F9*F20</f>
        <v/>
      </c>
      <c r="G28" s="15">
        <f>G9*G20</f>
        <v/>
      </c>
      <c r="H28" s="15">
        <f>H9*H20</f>
        <v/>
      </c>
      <c r="I28" s="15">
        <f>I9*I20</f>
        <v/>
      </c>
      <c r="J28" s="15">
        <f>J9*J20</f>
        <v/>
      </c>
    </row>
    <row r="29">
      <c r="A29" s="10" t="inlineStr">
        <is>
          <t>ADAS revenue subtotal</t>
        </is>
      </c>
      <c r="B29" s="13">
        <f>SUM(B27:B28)</f>
        <v/>
      </c>
      <c r="C29" s="13">
        <f>SUM(C27:C28)</f>
        <v/>
      </c>
      <c r="D29" s="13">
        <f>SUM(D27:D28)</f>
        <v/>
      </c>
      <c r="E29" s="13">
        <f>SUM(E27:E28)</f>
        <v/>
      </c>
      <c r="F29" s="13">
        <f>SUM(F27:F28)</f>
        <v/>
      </c>
      <c r="G29" s="13">
        <f>SUM(G27:G28)</f>
        <v/>
      </c>
      <c r="H29" s="13">
        <f>SUM(H27:H28)</f>
        <v/>
      </c>
      <c r="I29" s="13">
        <f>SUM(I27:I28)</f>
        <v/>
      </c>
      <c r="J29" s="13">
        <f>SUM(J27:J28)</f>
        <v/>
      </c>
    </row>
    <row r="30">
      <c r="A30" s="11" t="inlineStr">
        <is>
          <t>Robotics — Robotaxi revenue</t>
        </is>
      </c>
      <c r="B30" s="15">
        <f>B11*B21</f>
        <v/>
      </c>
      <c r="C30" s="15">
        <f>C11*C21</f>
        <v/>
      </c>
      <c r="D30" s="15">
        <f>D11*D21</f>
        <v/>
      </c>
      <c r="E30" s="15">
        <f>E11*E21</f>
        <v/>
      </c>
      <c r="F30" s="15">
        <f>F11*F21</f>
        <v/>
      </c>
      <c r="G30" s="15">
        <f>G11*G21</f>
        <v/>
      </c>
      <c r="H30" s="15">
        <f>H11*H21</f>
        <v/>
      </c>
      <c r="I30" s="15">
        <f>I11*I21</f>
        <v/>
      </c>
      <c r="J30" s="15">
        <f>J11*J21</f>
        <v/>
      </c>
    </row>
    <row r="31">
      <c r="A31" s="11" t="inlineStr">
        <is>
          <t>Robotics — Humanoid revenue</t>
        </is>
      </c>
      <c r="B31" s="15">
        <f>B12*B22</f>
        <v/>
      </c>
      <c r="C31" s="15">
        <f>C12*C22</f>
        <v/>
      </c>
      <c r="D31" s="15">
        <f>D12*D22</f>
        <v/>
      </c>
      <c r="E31" s="15">
        <f>E12*E22</f>
        <v/>
      </c>
      <c r="F31" s="15">
        <f>F12*F22</f>
        <v/>
      </c>
      <c r="G31" s="15">
        <f>G12*G22</f>
        <v/>
      </c>
      <c r="H31" s="15">
        <f>H12*H22</f>
        <v/>
      </c>
      <c r="I31" s="15">
        <f>I12*I22</f>
        <v/>
      </c>
      <c r="J31" s="15">
        <f>J12*J22</f>
        <v/>
      </c>
    </row>
    <row r="32">
      <c r="A32" s="11" t="inlineStr">
        <is>
          <t>Robotics — Lawn-mower revenue</t>
        </is>
      </c>
      <c r="B32" s="15">
        <f>B13*B23</f>
        <v/>
      </c>
      <c r="C32" s="15">
        <f>C13*C23</f>
        <v/>
      </c>
      <c r="D32" s="15">
        <f>D13*D23</f>
        <v/>
      </c>
      <c r="E32" s="15">
        <f>E13*E23</f>
        <v/>
      </c>
      <c r="F32" s="15">
        <f>F13*F23</f>
        <v/>
      </c>
      <c r="G32" s="15">
        <f>G13*G23</f>
        <v/>
      </c>
      <c r="H32" s="15">
        <f>H13*H23</f>
        <v/>
      </c>
      <c r="I32" s="15">
        <f>I13*I23</f>
        <v/>
      </c>
      <c r="J32" s="15">
        <f>J13*J23</f>
        <v/>
      </c>
    </row>
    <row r="33">
      <c r="A33" s="11" t="inlineStr">
        <is>
          <t>Robotics — Industrial revenue</t>
        </is>
      </c>
      <c r="B33" s="15">
        <f>B14*B24</f>
        <v/>
      </c>
      <c r="C33" s="15">
        <f>C14*C24</f>
        <v/>
      </c>
      <c r="D33" s="15">
        <f>D14*D24</f>
        <v/>
      </c>
      <c r="E33" s="15">
        <f>E14*E24</f>
        <v/>
      </c>
      <c r="F33" s="15">
        <f>F14*F24</f>
        <v/>
      </c>
      <c r="G33" s="15">
        <f>G14*G24</f>
        <v/>
      </c>
      <c r="H33" s="15">
        <f>H14*H24</f>
        <v/>
      </c>
      <c r="I33" s="15">
        <f>I14*I24</f>
        <v/>
      </c>
      <c r="J33" s="15">
        <f>J14*J24</f>
        <v/>
      </c>
    </row>
    <row r="34">
      <c r="A34" s="10" t="inlineStr">
        <is>
          <t>Robotics revenue subtotal</t>
        </is>
      </c>
      <c r="B34" s="13">
        <f>SUM(B30:B33)</f>
        <v/>
      </c>
      <c r="C34" s="13">
        <f>SUM(C30:C33)</f>
        <v/>
      </c>
      <c r="D34" s="13">
        <f>SUM(D30:D33)</f>
        <v/>
      </c>
      <c r="E34" s="13">
        <f>SUM(E30:E33)</f>
        <v/>
      </c>
      <c r="F34" s="13">
        <f>SUM(F30:F33)</f>
        <v/>
      </c>
      <c r="G34" s="13">
        <f>SUM(G30:G33)</f>
        <v/>
      </c>
      <c r="H34" s="13">
        <f>SUM(H30:H33)</f>
        <v/>
      </c>
      <c r="I34" s="13">
        <f>SUM(I30:I33)</f>
        <v/>
      </c>
      <c r="J34" s="13">
        <f>SUM(J30:J33)</f>
        <v/>
      </c>
    </row>
    <row r="35">
      <c r="A35" s="11" t="inlineStr">
        <is>
          <t>Service revenue (design-in, NRE, project-based)</t>
        </is>
      </c>
      <c r="B35" s="12" t="n">
        <v>42000</v>
      </c>
      <c r="C35" s="12" t="n">
        <v>115000</v>
      </c>
      <c r="D35" s="12" t="n">
        <v>115000</v>
      </c>
      <c r="E35" s="12" t="n">
        <v>25000</v>
      </c>
      <c r="F35" s="12" t="n">
        <v>30000</v>
      </c>
      <c r="G35" s="12" t="n">
        <v>35000</v>
      </c>
      <c r="H35" s="12" t="n">
        <v>40000</v>
      </c>
      <c r="I35" s="12" t="n">
        <v>45000</v>
      </c>
      <c r="J35" s="12" t="n">
        <v>50000</v>
      </c>
    </row>
    <row r="36">
      <c r="A36" s="11" t="inlineStr">
        <is>
          <t>Gas-sensor / legacy revenue</t>
        </is>
      </c>
      <c r="B36" s="12" t="n">
        <v>38000</v>
      </c>
      <c r="C36" s="12" t="n">
        <v>27000</v>
      </c>
      <c r="D36" s="12" t="n">
        <v>15400</v>
      </c>
      <c r="E36" s="12" t="n">
        <v>11000</v>
      </c>
      <c r="F36" s="12" t="n">
        <v>9000</v>
      </c>
      <c r="G36" s="12" t="n">
        <v>7500</v>
      </c>
      <c r="H36" s="12" t="n">
        <v>6500</v>
      </c>
      <c r="I36" s="12" t="n">
        <v>5500</v>
      </c>
      <c r="J36" s="12" t="n">
        <v>5000</v>
      </c>
    </row>
    <row r="37">
      <c r="A37" s="10" t="inlineStr">
        <is>
          <t>TOTAL NET REVENUES</t>
        </is>
      </c>
      <c r="B37" s="16">
        <f>B29+B34+B35+B36</f>
        <v/>
      </c>
      <c r="C37" s="16">
        <f>C29+C34+C35+C36</f>
        <v/>
      </c>
      <c r="D37" s="16">
        <f>D29+D34+D35+D36</f>
        <v/>
      </c>
      <c r="E37" s="16">
        <f>E29+E34+E35+E36</f>
        <v/>
      </c>
      <c r="F37" s="16">
        <f>F29+F34+F35+F36</f>
        <v/>
      </c>
      <c r="G37" s="16">
        <f>G29+G34+G35+G36</f>
        <v/>
      </c>
      <c r="H37" s="16">
        <f>H29+H34+H35+H36</f>
        <v/>
      </c>
      <c r="I37" s="16">
        <f>I29+I34+I35+I36</f>
        <v/>
      </c>
      <c r="J37" s="16">
        <f>J29+J34+J35+J36</f>
        <v/>
      </c>
    </row>
    <row r="38">
      <c r="A38" s="17" t="inlineStr">
        <is>
          <t xml:space="preserve">  YoY growth %</t>
        </is>
      </c>
      <c r="B38" s="15" t="inlineStr">
        <is>
          <t>n/a</t>
        </is>
      </c>
      <c r="C38" s="18">
        <f>C37/B37-1</f>
        <v/>
      </c>
      <c r="D38" s="18">
        <f>D37/C37-1</f>
        <v/>
      </c>
      <c r="E38" s="18">
        <f>E37/D37-1</f>
        <v/>
      </c>
      <c r="F38" s="18">
        <f>F37/E37-1</f>
        <v/>
      </c>
      <c r="G38" s="18">
        <f>G37/F37-1</f>
        <v/>
      </c>
      <c r="H38" s="18">
        <f>H37/G37-1</f>
        <v/>
      </c>
      <c r="I38" s="18">
        <f>I37/H37-1</f>
        <v/>
      </c>
      <c r="J38" s="18">
        <f>J37/I37-1</f>
        <v/>
      </c>
    </row>
    <row r="39">
      <c r="A39" s="17" t="inlineStr">
        <is>
          <t xml:space="preserve">  Implied blended ASP (RMB/unit)</t>
        </is>
      </c>
      <c r="B39" s="15">
        <f>B37/B16</f>
        <v/>
      </c>
      <c r="C39" s="15">
        <f>C37/C16</f>
        <v/>
      </c>
      <c r="D39" s="15">
        <f>D37/D16</f>
        <v/>
      </c>
      <c r="E39" s="15">
        <f>E37/E16</f>
        <v/>
      </c>
      <c r="F39" s="15">
        <f>F37/F16</f>
        <v/>
      </c>
      <c r="G39" s="15">
        <f>G37/G16</f>
        <v/>
      </c>
      <c r="H39" s="15">
        <f>H37/H16</f>
        <v/>
      </c>
      <c r="I39" s="15">
        <f>I37/I16</f>
        <v/>
      </c>
      <c r="J39" s="15">
        <f>J37/J16</f>
        <v/>
      </c>
    </row>
    <row r="40">
      <c r="A40" s="17" t="inlineStr">
        <is>
          <t xml:space="preserve">  Implied blended ASP (US$/unit, @ FX 7.30)</t>
        </is>
      </c>
      <c r="B40" s="19">
        <f>B37/B16/7.3</f>
        <v/>
      </c>
      <c r="C40" s="19">
        <f>C37/C16/7.3</f>
        <v/>
      </c>
      <c r="D40" s="19">
        <f>D37/D16/7.3</f>
        <v/>
      </c>
      <c r="E40" s="19">
        <f>E37/E16/7.3</f>
        <v/>
      </c>
      <c r="F40" s="19">
        <f>F37/F16/7.3</f>
        <v/>
      </c>
      <c r="G40" s="19">
        <f>G37/G16/7.3</f>
        <v/>
      </c>
      <c r="H40" s="19">
        <f>H37/H16/7.3</f>
        <v/>
      </c>
      <c r="I40" s="19">
        <f>I37/I16/7.3</f>
        <v/>
      </c>
      <c r="J40" s="19">
        <f>J37/J16/7.3</f>
        <v/>
      </c>
    </row>
    <row r="42">
      <c r="A42" s="8" t="inlineStr">
        <is>
          <t>B. REVENUE MIX (% of total)</t>
        </is>
      </c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</row>
    <row r="43">
      <c r="A43" s="11" t="inlineStr">
        <is>
          <t>ADAS % of revenue</t>
        </is>
      </c>
      <c r="B43" s="18">
        <f>B29/B37</f>
        <v/>
      </c>
      <c r="C43" s="18">
        <f>C29/C37</f>
        <v/>
      </c>
      <c r="D43" s="18">
        <f>D29/D37</f>
        <v/>
      </c>
      <c r="E43" s="18">
        <f>E29/E37</f>
        <v/>
      </c>
      <c r="F43" s="18">
        <f>F29/F37</f>
        <v/>
      </c>
      <c r="G43" s="18">
        <f>G29/G37</f>
        <v/>
      </c>
      <c r="H43" s="18">
        <f>H29/H37</f>
        <v/>
      </c>
      <c r="I43" s="18">
        <f>I29/I37</f>
        <v/>
      </c>
      <c r="J43" s="18">
        <f>J29/J37</f>
        <v/>
      </c>
    </row>
    <row r="44">
      <c r="A44" s="11" t="inlineStr">
        <is>
          <t>Robotics % of revenue</t>
        </is>
      </c>
      <c r="B44" s="18">
        <f>B34/B37</f>
        <v/>
      </c>
      <c r="C44" s="18">
        <f>C34/C37</f>
        <v/>
      </c>
      <c r="D44" s="18">
        <f>D34/D37</f>
        <v/>
      </c>
      <c r="E44" s="18">
        <f>E34/E37</f>
        <v/>
      </c>
      <c r="F44" s="18">
        <f>F34/F37</f>
        <v/>
      </c>
      <c r="G44" s="18">
        <f>G34/G37</f>
        <v/>
      </c>
      <c r="H44" s="18">
        <f>H34/H37</f>
        <v/>
      </c>
      <c r="I44" s="18">
        <f>I34/I37</f>
        <v/>
      </c>
      <c r="J44" s="18">
        <f>J34/J37</f>
        <v/>
      </c>
    </row>
    <row r="45">
      <c r="A45" s="11" t="inlineStr">
        <is>
          <t>Service % of revenue</t>
        </is>
      </c>
      <c r="B45" s="18">
        <f>B35/B37</f>
        <v/>
      </c>
      <c r="C45" s="18">
        <f>C35/C37</f>
        <v/>
      </c>
      <c r="D45" s="18">
        <f>D35/D37</f>
        <v/>
      </c>
      <c r="E45" s="18">
        <f>E35/E37</f>
        <v/>
      </c>
      <c r="F45" s="18">
        <f>F35/F37</f>
        <v/>
      </c>
      <c r="G45" s="18">
        <f>G35/G37</f>
        <v/>
      </c>
      <c r="H45" s="18">
        <f>H35/H37</f>
        <v/>
      </c>
      <c r="I45" s="18">
        <f>I35/I37</f>
        <v/>
      </c>
      <c r="J45" s="18">
        <f>J35/J37</f>
        <v/>
      </c>
    </row>
    <row r="46">
      <c r="A46" s="11" t="inlineStr">
        <is>
          <t>Gas / legacy % of revenue</t>
        </is>
      </c>
      <c r="B46" s="18">
        <f>B36/B37</f>
        <v/>
      </c>
      <c r="C46" s="18">
        <f>C36/C37</f>
        <v/>
      </c>
      <c r="D46" s="18">
        <f>D36/D37</f>
        <v/>
      </c>
      <c r="E46" s="18">
        <f>E36/E37</f>
        <v/>
      </c>
      <c r="F46" s="18">
        <f>F36/F37</f>
        <v/>
      </c>
      <c r="G46" s="18">
        <f>G36/G37</f>
        <v/>
      </c>
      <c r="H46" s="18">
        <f>H36/H37</f>
        <v/>
      </c>
      <c r="I46" s="18">
        <f>I36/I37</f>
        <v/>
      </c>
      <c r="J46" s="18">
        <f>J36/J37</f>
        <v/>
      </c>
    </row>
    <row r="48">
      <c r="A48" s="8" t="inlineStr">
        <is>
          <t>C. REVENUE BY GEOGRAPHY (RMB thousands)</t>
        </is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</row>
    <row r="49">
      <c r="A49" s="11" t="inlineStr">
        <is>
          <t>Mainland China</t>
        </is>
      </c>
      <c r="B49" s="12" t="n">
        <v>697294</v>
      </c>
      <c r="C49" s="12" t="n">
        <v>991912</v>
      </c>
      <c r="D49" s="12" t="n">
        <v>1542793</v>
      </c>
      <c r="E49" s="12" t="n">
        <v>2350000</v>
      </c>
      <c r="F49" s="12" t="n">
        <v>3800000</v>
      </c>
      <c r="G49" s="12" t="n">
        <v>5400000</v>
      </c>
      <c r="H49" s="12" t="n">
        <v>7200000</v>
      </c>
      <c r="I49" s="12" t="n">
        <v>9000000</v>
      </c>
      <c r="J49" s="12" t="n">
        <v>10800000</v>
      </c>
    </row>
    <row r="50">
      <c r="A50" s="17" t="inlineStr">
        <is>
          <t xml:space="preserve">  China — Top-10 OEMs (Li Auto, Xiaomi, Changan, BYD, etc.)</t>
        </is>
      </c>
      <c r="B50" s="12" t="n">
        <v>380000</v>
      </c>
      <c r="C50" s="12" t="n">
        <v>620000</v>
      </c>
      <c r="D50" s="12" t="n">
        <v>1180000</v>
      </c>
      <c r="E50" s="12" t="n">
        <v>1900000</v>
      </c>
      <c r="F50" s="12" t="n">
        <v>3150000</v>
      </c>
      <c r="G50" s="12" t="n">
        <v>4500000</v>
      </c>
      <c r="H50" s="12" t="n">
        <v>6000000</v>
      </c>
      <c r="I50" s="12" t="n">
        <v>7500000</v>
      </c>
      <c r="J50" s="12" t="n">
        <v>9000000</v>
      </c>
    </row>
    <row r="51">
      <c r="A51" s="17" t="inlineStr">
        <is>
          <t xml:space="preserve">  China — Robotaxi/Robotics customers</t>
        </is>
      </c>
      <c r="B51" s="12" t="n">
        <v>317294</v>
      </c>
      <c r="C51" s="12" t="n">
        <v>371912</v>
      </c>
      <c r="D51" s="12" t="n">
        <v>362793</v>
      </c>
      <c r="E51" s="12" t="n">
        <v>450000</v>
      </c>
      <c r="F51" s="12" t="n">
        <v>650000</v>
      </c>
      <c r="G51" s="12" t="n">
        <v>900000</v>
      </c>
      <c r="H51" s="12" t="n">
        <v>1200000</v>
      </c>
      <c r="I51" s="12" t="n">
        <v>1500000</v>
      </c>
      <c r="J51" s="12" t="n">
        <v>1800000</v>
      </c>
    </row>
    <row r="52">
      <c r="A52" s="11" t="inlineStr">
        <is>
          <t>North America (US OEM, robotaxi)</t>
        </is>
      </c>
      <c r="B52" s="12" t="n">
        <v>358549</v>
      </c>
      <c r="C52" s="12" t="n">
        <v>748147</v>
      </c>
      <c r="D52" s="12" t="n">
        <v>280874</v>
      </c>
      <c r="E52" s="12" t="n">
        <v>410000</v>
      </c>
      <c r="F52" s="12" t="n">
        <v>560000</v>
      </c>
      <c r="G52" s="12" t="n">
        <v>780000</v>
      </c>
      <c r="H52" s="12" t="n">
        <v>1000000</v>
      </c>
      <c r="I52" s="12" t="n">
        <v>1250000</v>
      </c>
      <c r="J52" s="12" t="n">
        <v>1500000</v>
      </c>
    </row>
    <row r="53">
      <c r="A53" s="17" t="inlineStr">
        <is>
          <t xml:space="preserve">  US — Top-1 OEM (e.g. GM Super Cruise)</t>
        </is>
      </c>
      <c r="B53" s="12" t="n">
        <v>165000</v>
      </c>
      <c r="C53" s="12" t="n">
        <v>535000</v>
      </c>
      <c r="D53" s="12" t="n">
        <v>80000</v>
      </c>
      <c r="E53" s="12" t="n">
        <v>130000</v>
      </c>
      <c r="F53" s="12" t="n">
        <v>220000</v>
      </c>
      <c r="G53" s="12" t="n">
        <v>350000</v>
      </c>
      <c r="H53" s="12" t="n">
        <v>500000</v>
      </c>
      <c r="I53" s="12" t="n">
        <v>650000</v>
      </c>
      <c r="J53" s="12" t="n">
        <v>800000</v>
      </c>
    </row>
    <row r="54">
      <c r="A54" s="17" t="inlineStr">
        <is>
          <t xml:space="preserve">  US — Robotaxi &amp; other (Waymo, etc.)</t>
        </is>
      </c>
      <c r="B54" s="12" t="n">
        <v>193549</v>
      </c>
      <c r="C54" s="12" t="n">
        <v>213147</v>
      </c>
      <c r="D54" s="12" t="n">
        <v>200874</v>
      </c>
      <c r="E54" s="12" t="n">
        <v>280000</v>
      </c>
      <c r="F54" s="12" t="n">
        <v>340000</v>
      </c>
      <c r="G54" s="12" t="n">
        <v>430000</v>
      </c>
      <c r="H54" s="12" t="n">
        <v>500000</v>
      </c>
      <c r="I54" s="12" t="n">
        <v>600000</v>
      </c>
      <c r="J54" s="12" t="n">
        <v>700000</v>
      </c>
    </row>
    <row r="55">
      <c r="A55" s="11" t="inlineStr">
        <is>
          <t>Europe (Stellantis, Mercedes, Bosch)</t>
        </is>
      </c>
      <c r="B55" s="12" t="n">
        <v>86153</v>
      </c>
      <c r="C55" s="12" t="n">
        <v>70500</v>
      </c>
      <c r="D55" s="12" t="n">
        <v>161095</v>
      </c>
      <c r="E55" s="12" t="n">
        <v>200000</v>
      </c>
      <c r="F55" s="12" t="n">
        <v>320000</v>
      </c>
      <c r="G55" s="12" t="n">
        <v>480000</v>
      </c>
      <c r="H55" s="12" t="n">
        <v>660000</v>
      </c>
      <c r="I55" s="12" t="n">
        <v>850000</v>
      </c>
      <c r="J55" s="12" t="n">
        <v>1050000</v>
      </c>
    </row>
    <row r="56">
      <c r="A56" s="17" t="inlineStr">
        <is>
          <t xml:space="preserve">  EU — Tier-1 partnerships (Bosch, Valeo offshoot)</t>
        </is>
      </c>
      <c r="B56" s="12" t="n">
        <v>60000</v>
      </c>
      <c r="C56" s="12" t="n">
        <v>40000</v>
      </c>
      <c r="D56" s="12" t="n">
        <v>110000</v>
      </c>
      <c r="E56" s="12" t="n">
        <v>130000</v>
      </c>
      <c r="F56" s="12" t="n">
        <v>220000</v>
      </c>
      <c r="G56" s="12" t="n">
        <v>330000</v>
      </c>
      <c r="H56" s="12" t="n">
        <v>460000</v>
      </c>
      <c r="I56" s="12" t="n">
        <v>600000</v>
      </c>
      <c r="J56" s="12" t="n">
        <v>750000</v>
      </c>
    </row>
    <row r="57">
      <c r="A57" s="17" t="inlineStr">
        <is>
          <t xml:space="preserve">  EU — Direct OEM design-ins</t>
        </is>
      </c>
      <c r="B57" s="12" t="n">
        <v>26153</v>
      </c>
      <c r="C57" s="12" t="n">
        <v>30500</v>
      </c>
      <c r="D57" s="12" t="n">
        <v>51095</v>
      </c>
      <c r="E57" s="12" t="n">
        <v>70000</v>
      </c>
      <c r="F57" s="12" t="n">
        <v>100000</v>
      </c>
      <c r="G57" s="12" t="n">
        <v>150000</v>
      </c>
      <c r="H57" s="12" t="n">
        <v>200000</v>
      </c>
      <c r="I57" s="12" t="n">
        <v>250000</v>
      </c>
      <c r="J57" s="12" t="n">
        <v>300000</v>
      </c>
    </row>
    <row r="58">
      <c r="A58" s="11" t="inlineStr">
        <is>
          <t>Asia ex-China (Japan, Korea, ASEAN)</t>
        </is>
      </c>
      <c r="B58" s="12" t="n">
        <v>40000</v>
      </c>
      <c r="C58" s="12" t="n">
        <v>45000</v>
      </c>
      <c r="D58" s="12" t="n">
        <v>65000</v>
      </c>
      <c r="E58" s="12" t="n">
        <v>80000</v>
      </c>
      <c r="F58" s="12" t="n">
        <v>130000</v>
      </c>
      <c r="G58" s="12" t="n">
        <v>200000</v>
      </c>
      <c r="H58" s="12" t="n">
        <v>280000</v>
      </c>
      <c r="I58" s="12" t="n">
        <v>380000</v>
      </c>
      <c r="J58" s="12" t="n">
        <v>480000</v>
      </c>
    </row>
    <row r="59">
      <c r="A59" s="11" t="inlineStr">
        <is>
          <t>Rest of world (LATAM, MEA, ANZ)</t>
        </is>
      </c>
      <c r="B59" s="12" t="n">
        <v>20674</v>
      </c>
      <c r="C59" s="12" t="n">
        <v>21430</v>
      </c>
      <c r="D59" s="12" t="n">
        <v>27395</v>
      </c>
      <c r="E59" s="12" t="n">
        <v>40000</v>
      </c>
      <c r="F59" s="12" t="n">
        <v>70000</v>
      </c>
      <c r="G59" s="12" t="n">
        <v>110000</v>
      </c>
      <c r="H59" s="12" t="n">
        <v>150000</v>
      </c>
      <c r="I59" s="12" t="n">
        <v>200000</v>
      </c>
      <c r="J59" s="12" t="n">
        <v>250000</v>
      </c>
    </row>
    <row r="60">
      <c r="A60" s="10" t="inlineStr">
        <is>
          <t>TOTAL revenue by geography</t>
        </is>
      </c>
      <c r="B60" s="16">
        <f>B49+B52+B55+B58+B59</f>
        <v/>
      </c>
      <c r="C60" s="16">
        <f>C49+C52+C55+C58+C59</f>
        <v/>
      </c>
      <c r="D60" s="16">
        <f>D49+D52+D55+D58+D59</f>
        <v/>
      </c>
      <c r="E60" s="16">
        <f>E49+E52+E55+E58+E59</f>
        <v/>
      </c>
      <c r="F60" s="16">
        <f>F49+F52+F55+F58+F59</f>
        <v/>
      </c>
      <c r="G60" s="16">
        <f>G49+G52+G55+G58+G59</f>
        <v/>
      </c>
      <c r="H60" s="16">
        <f>H49+H52+H55+H58+H59</f>
        <v/>
      </c>
      <c r="I60" s="16">
        <f>I49+I52+I55+I58+I59</f>
        <v/>
      </c>
      <c r="J60" s="16">
        <f>J49+J52+J55+J58+J59</f>
        <v/>
      </c>
    </row>
    <row r="61">
      <c r="A61" s="17" t="inlineStr">
        <is>
          <t xml:space="preserve">  Geography vs product check (should be ~0)</t>
        </is>
      </c>
      <c r="B61" s="15">
        <f>B60-B37</f>
        <v/>
      </c>
      <c r="C61" s="15">
        <f>C60-C37</f>
        <v/>
      </c>
      <c r="D61" s="15">
        <f>D60-D37</f>
        <v/>
      </c>
      <c r="E61" s="15">
        <f>E60-E37</f>
        <v/>
      </c>
      <c r="F61" s="15">
        <f>F60-F37</f>
        <v/>
      </c>
      <c r="G61" s="15">
        <f>G60-G37</f>
        <v/>
      </c>
      <c r="H61" s="15">
        <f>H60-H37</f>
        <v/>
      </c>
      <c r="I61" s="15">
        <f>I60-I37</f>
        <v/>
      </c>
      <c r="J61" s="15">
        <f>J60-J37</f>
        <v/>
      </c>
    </row>
    <row r="63">
      <c r="A63" s="8" t="inlineStr">
        <is>
          <t>D. REVENUE BY CHANNEL</t>
        </is>
      </c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</row>
    <row r="64">
      <c r="A64" s="11" t="inlineStr">
        <is>
          <t>Direct OEM (auto)</t>
        </is>
      </c>
      <c r="B64" s="12" t="n">
        <v>800000</v>
      </c>
      <c r="C64" s="12" t="n">
        <v>1450000</v>
      </c>
      <c r="D64" s="12" t="n">
        <v>1700000</v>
      </c>
      <c r="E64" s="12" t="n">
        <v>2580000</v>
      </c>
      <c r="F64" s="12" t="n">
        <v>4180000</v>
      </c>
      <c r="G64" s="12" t="n">
        <v>6100000</v>
      </c>
      <c r="H64" s="12" t="n">
        <v>8350000</v>
      </c>
      <c r="I64" s="12" t="n">
        <v>10500000</v>
      </c>
      <c r="J64" s="12" t="n">
        <v>12700000</v>
      </c>
    </row>
    <row r="65">
      <c r="A65" s="11" t="inlineStr">
        <is>
          <t>Direct robotics (robotaxi, humanoid, lawnmower)</t>
        </is>
      </c>
      <c r="B65" s="12" t="n">
        <v>320000</v>
      </c>
      <c r="C65" s="12" t="n">
        <v>380000</v>
      </c>
      <c r="D65" s="12" t="n">
        <v>340000</v>
      </c>
      <c r="E65" s="12" t="n">
        <v>410000</v>
      </c>
      <c r="F65" s="12" t="n">
        <v>580000</v>
      </c>
      <c r="G65" s="12" t="n">
        <v>800000</v>
      </c>
      <c r="H65" s="12" t="n">
        <v>1080000</v>
      </c>
      <c r="I65" s="12" t="n">
        <v>1380000</v>
      </c>
      <c r="J65" s="12" t="n">
        <v>1720000</v>
      </c>
    </row>
    <row r="66">
      <c r="A66" s="11" t="inlineStr">
        <is>
          <t>Tier-1 partner channel (Bosch, etc.)</t>
        </is>
      </c>
      <c r="B66" s="12" t="n">
        <v>42000</v>
      </c>
      <c r="C66" s="12" t="n">
        <v>19000</v>
      </c>
      <c r="D66" s="12" t="n">
        <v>21800</v>
      </c>
      <c r="E66" s="12" t="n">
        <v>25000</v>
      </c>
      <c r="F66" s="12" t="n">
        <v>60000</v>
      </c>
      <c r="G66" s="12" t="n">
        <v>100000</v>
      </c>
      <c r="H66" s="12" t="n">
        <v>145000</v>
      </c>
      <c r="I66" s="12" t="n">
        <v>200000</v>
      </c>
      <c r="J66" s="12" t="n">
        <v>250000</v>
      </c>
    </row>
    <row r="67">
      <c r="A67" s="11" t="inlineStr">
        <is>
          <t>Service / NRE</t>
        </is>
      </c>
      <c r="B67" s="12" t="n">
        <v>42000</v>
      </c>
      <c r="C67" s="12" t="n">
        <v>28000</v>
      </c>
      <c r="D67" s="12" t="n">
        <v>15400</v>
      </c>
      <c r="E67" s="12" t="n">
        <v>11000</v>
      </c>
      <c r="F67" s="12" t="n">
        <v>30000</v>
      </c>
      <c r="G67" s="12" t="n">
        <v>50000</v>
      </c>
      <c r="H67" s="12" t="n">
        <v>70000</v>
      </c>
      <c r="I67" s="12" t="n">
        <v>90000</v>
      </c>
      <c r="J67" s="12" t="n">
        <v>110000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HESAI GROUP — CONSOLIDATED INCOME STATEMENT</t>
        </is>
      </c>
    </row>
    <row r="2">
      <c r="A2" s="3" t="inlineStr">
        <is>
          <t>GAAP basis, RMB thousands. Historicals tie to 20-F &amp; FY25 6-K (Mar 24 2026).</t>
        </is>
      </c>
    </row>
    <row r="4">
      <c r="A4" s="6" t="inlineStr">
        <is>
          <t>(RMB thousands)</t>
        </is>
      </c>
      <c r="B4" s="7" t="inlineStr">
        <is>
          <t>FY22A</t>
        </is>
      </c>
      <c r="C4" s="7" t="inlineStr">
        <is>
          <t>FY23A</t>
        </is>
      </c>
      <c r="D4" s="7" t="inlineStr">
        <is>
          <t>FY24A</t>
        </is>
      </c>
      <c r="E4" s="7" t="inlineStr">
        <is>
          <t>FY25A</t>
        </is>
      </c>
      <c r="F4" s="7" t="inlineStr">
        <is>
          <t>FY26E</t>
        </is>
      </c>
      <c r="G4" s="7" t="inlineStr">
        <is>
          <t>FY27E</t>
        </is>
      </c>
      <c r="H4" s="7" t="inlineStr">
        <is>
          <t>FY28E</t>
        </is>
      </c>
      <c r="I4" s="7" t="inlineStr">
        <is>
          <t>FY29E</t>
        </is>
      </c>
      <c r="J4" s="7" t="inlineStr">
        <is>
          <t>FY30E</t>
        </is>
      </c>
    </row>
    <row r="6">
      <c r="A6" s="8" t="inlineStr">
        <is>
          <t>REVENUE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</row>
    <row r="7">
      <c r="A7" s="11" t="inlineStr">
        <is>
          <t>Product revenue — ADAS lidar</t>
        </is>
      </c>
      <c r="B7" s="20">
        <f>'Revenue Model'!B29</f>
        <v/>
      </c>
      <c r="C7" s="20">
        <f>'Revenue Model'!C29</f>
        <v/>
      </c>
      <c r="D7" s="20">
        <f>'Revenue Model'!D29</f>
        <v/>
      </c>
      <c r="E7" s="20">
        <f>'Revenue Model'!E29</f>
        <v/>
      </c>
      <c r="F7" s="20">
        <f>'Revenue Model'!F29</f>
        <v/>
      </c>
      <c r="G7" s="20">
        <f>'Revenue Model'!G29</f>
        <v/>
      </c>
      <c r="H7" s="20">
        <f>'Revenue Model'!H29</f>
        <v/>
      </c>
      <c r="I7" s="20">
        <f>'Revenue Model'!I29</f>
        <v/>
      </c>
      <c r="J7" s="20">
        <f>'Revenue Model'!J29</f>
        <v/>
      </c>
    </row>
    <row r="8">
      <c r="A8" s="11" t="inlineStr">
        <is>
          <t>Product revenue — Robotics lidar</t>
        </is>
      </c>
      <c r="B8" s="20">
        <f>'Revenue Model'!B34</f>
        <v/>
      </c>
      <c r="C8" s="20">
        <f>'Revenue Model'!C34</f>
        <v/>
      </c>
      <c r="D8" s="20">
        <f>'Revenue Model'!D34</f>
        <v/>
      </c>
      <c r="E8" s="20">
        <f>'Revenue Model'!E34</f>
        <v/>
      </c>
      <c r="F8" s="20">
        <f>'Revenue Model'!F34</f>
        <v/>
      </c>
      <c r="G8" s="20">
        <f>'Revenue Model'!G34</f>
        <v/>
      </c>
      <c r="H8" s="20">
        <f>'Revenue Model'!H34</f>
        <v/>
      </c>
      <c r="I8" s="20">
        <f>'Revenue Model'!I34</f>
        <v/>
      </c>
      <c r="J8" s="20">
        <f>'Revenue Model'!J34</f>
        <v/>
      </c>
    </row>
    <row r="9">
      <c r="A9" s="11" t="inlineStr">
        <is>
          <t>Service revenue + Gas / legacy</t>
        </is>
      </c>
      <c r="B9" s="20">
        <f>'Revenue Model'!B35+'Revenue Model'!B36</f>
        <v/>
      </c>
      <c r="C9" s="20">
        <f>'Revenue Model'!C35+'Revenue Model'!C36</f>
        <v/>
      </c>
      <c r="D9" s="20">
        <f>'Revenue Model'!D35+'Revenue Model'!D36</f>
        <v/>
      </c>
      <c r="E9" s="20">
        <f>'Revenue Model'!E35+'Revenue Model'!E36</f>
        <v/>
      </c>
      <c r="F9" s="20">
        <f>'Revenue Model'!F35+'Revenue Model'!F36</f>
        <v/>
      </c>
      <c r="G9" s="20">
        <f>'Revenue Model'!G35+'Revenue Model'!G36</f>
        <v/>
      </c>
      <c r="H9" s="20">
        <f>'Revenue Model'!H35+'Revenue Model'!H36</f>
        <v/>
      </c>
      <c r="I9" s="20">
        <f>'Revenue Model'!I35+'Revenue Model'!I36</f>
        <v/>
      </c>
      <c r="J9" s="20">
        <f>'Revenue Model'!J35+'Revenue Model'!J36</f>
        <v/>
      </c>
    </row>
    <row r="10">
      <c r="A10" s="10" t="inlineStr">
        <is>
          <t>Total net revenues</t>
        </is>
      </c>
      <c r="B10" s="16">
        <f>'Revenue Model'!B37</f>
        <v/>
      </c>
      <c r="C10" s="16">
        <f>'Revenue Model'!C37</f>
        <v/>
      </c>
      <c r="D10" s="16">
        <f>'Revenue Model'!D37</f>
        <v/>
      </c>
      <c r="E10" s="16">
        <f>'Revenue Model'!E37</f>
        <v/>
      </c>
      <c r="F10" s="16">
        <f>'Revenue Model'!F37</f>
        <v/>
      </c>
      <c r="G10" s="16">
        <f>'Revenue Model'!G37</f>
        <v/>
      </c>
      <c r="H10" s="16">
        <f>'Revenue Model'!H37</f>
        <v/>
      </c>
      <c r="I10" s="16">
        <f>'Revenue Model'!I37</f>
        <v/>
      </c>
      <c r="J10" s="16">
        <f>'Revenue Model'!J37</f>
        <v/>
      </c>
    </row>
    <row r="11">
      <c r="A11" s="17" t="inlineStr">
        <is>
          <t xml:space="preserve">  YoY growth %</t>
        </is>
      </c>
      <c r="B11" s="15" t="inlineStr">
        <is>
          <t>n/a</t>
        </is>
      </c>
      <c r="C11" s="18">
        <f>C10/B10-1</f>
        <v/>
      </c>
      <c r="D11" s="18">
        <f>D10/C10-1</f>
        <v/>
      </c>
      <c r="E11" s="18">
        <f>E10/D10-1</f>
        <v/>
      </c>
      <c r="F11" s="18">
        <f>F10/E10-1</f>
        <v/>
      </c>
      <c r="G11" s="18">
        <f>G10/F10-1</f>
        <v/>
      </c>
      <c r="H11" s="18">
        <f>H10/G10-1</f>
        <v/>
      </c>
      <c r="I11" s="18">
        <f>I10/H10-1</f>
        <v/>
      </c>
      <c r="J11" s="18">
        <f>J10/I10-1</f>
        <v/>
      </c>
    </row>
    <row r="13">
      <c r="A13" s="8" t="inlineStr">
        <is>
          <t>COST OF REVENUE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</row>
    <row r="14">
      <c r="A14" s="11" t="inlineStr">
        <is>
          <t xml:space="preserve">  Gross margin % (input)</t>
        </is>
      </c>
      <c r="B14" s="21" t="n">
        <v>0.392</v>
      </c>
      <c r="C14" s="21" t="n">
        <v>0.352</v>
      </c>
      <c r="D14" s="21" t="n">
        <v>0.426</v>
      </c>
      <c r="E14" s="21" t="n">
        <v>0.418</v>
      </c>
      <c r="F14" s="21" t="n">
        <v>0.418</v>
      </c>
      <c r="G14" s="21" t="n">
        <v>0.422</v>
      </c>
      <c r="H14" s="21" t="n">
        <v>0.425</v>
      </c>
      <c r="I14" s="21" t="n">
        <v>0.428</v>
      </c>
      <c r="J14" s="21" t="n">
        <v>0.43</v>
      </c>
    </row>
    <row r="15">
      <c r="A15" s="22" t="inlineStr">
        <is>
          <t>Cost of revenues (calc as Rev × (1-GM%))</t>
        </is>
      </c>
      <c r="B15" s="15">
        <f>-B10*(1-B14)</f>
        <v/>
      </c>
      <c r="C15" s="15">
        <f>-C10*(1-C14)</f>
        <v/>
      </c>
      <c r="D15" s="15">
        <f>-D10*(1-D14)</f>
        <v/>
      </c>
      <c r="E15" s="15">
        <f>-E10*(1-E14)</f>
        <v/>
      </c>
      <c r="F15" s="15">
        <f>-F10*(1-F14)</f>
        <v/>
      </c>
      <c r="G15" s="15">
        <f>-G10*(1-G14)</f>
        <v/>
      </c>
      <c r="H15" s="15">
        <f>-H10*(1-H14)</f>
        <v/>
      </c>
      <c r="I15" s="15">
        <f>-I10*(1-I14)</f>
        <v/>
      </c>
      <c r="J15" s="15">
        <f>-J10*(1-J14)</f>
        <v/>
      </c>
    </row>
    <row r="16">
      <c r="A16" s="11" t="inlineStr">
        <is>
          <t xml:space="preserve">  COGS breakdown (memo):</t>
        </is>
      </c>
    </row>
    <row r="17">
      <c r="A17" s="17" t="inlineStr">
        <is>
          <t xml:space="preserve">  Materials / components</t>
        </is>
      </c>
      <c r="B17" s="12" t="n">
        <v>-510000</v>
      </c>
      <c r="C17" s="12" t="n">
        <v>-850000</v>
      </c>
      <c r="D17" s="12" t="n">
        <v>-780000</v>
      </c>
      <c r="E17" s="12" t="n">
        <v>-1130000</v>
      </c>
      <c r="F17" s="12" t="n">
        <v>-1490000</v>
      </c>
      <c r="G17" s="12" t="n">
        <v>-1820000</v>
      </c>
      <c r="H17" s="12" t="n">
        <v>-2200000</v>
      </c>
      <c r="I17" s="12" t="n">
        <v>-2630000</v>
      </c>
      <c r="J17" s="12" t="n">
        <v>-3080000</v>
      </c>
    </row>
    <row r="18">
      <c r="A18" s="17" t="inlineStr">
        <is>
          <t xml:space="preserve">  Manufacturing &amp; overhead</t>
        </is>
      </c>
      <c r="B18" s="12" t="n">
        <v>-160000</v>
      </c>
      <c r="C18" s="12" t="n">
        <v>-270000</v>
      </c>
      <c r="D18" s="12" t="n">
        <v>-300000</v>
      </c>
      <c r="E18" s="12" t="n">
        <v>-420000</v>
      </c>
      <c r="F18" s="12" t="n">
        <v>-540000</v>
      </c>
      <c r="G18" s="12" t="n">
        <v>-660000</v>
      </c>
      <c r="H18" s="12" t="n">
        <v>-790000</v>
      </c>
      <c r="I18" s="12" t="n">
        <v>-940000</v>
      </c>
      <c r="J18" s="12" t="n">
        <v>-1090000</v>
      </c>
    </row>
    <row r="19">
      <c r="A19" s="17" t="inlineStr">
        <is>
          <t xml:space="preserve">  Logistics / shipping / warranty</t>
        </is>
      </c>
      <c r="B19" s="12" t="n">
        <v>-60683</v>
      </c>
      <c r="C19" s="12" t="n">
        <v>-95611</v>
      </c>
      <c r="D19" s="12" t="n">
        <v>-112572</v>
      </c>
      <c r="E19" s="12" t="n">
        <v>-212477</v>
      </c>
      <c r="F19" s="12" t="n">
        <v>-270000</v>
      </c>
      <c r="G19" s="12" t="n">
        <v>-340000</v>
      </c>
      <c r="H19" s="12" t="n">
        <v>-420000</v>
      </c>
      <c r="I19" s="12" t="n">
        <v>-510000</v>
      </c>
      <c r="J19" s="12" t="n">
        <v>-610000</v>
      </c>
    </row>
    <row r="20">
      <c r="A20" s="10" t="inlineStr">
        <is>
          <t>GROSS PROFIT</t>
        </is>
      </c>
      <c r="B20" s="16">
        <f>B10+B15</f>
        <v/>
      </c>
      <c r="C20" s="16">
        <f>C10+C15</f>
        <v/>
      </c>
      <c r="D20" s="16">
        <f>D10+D15</f>
        <v/>
      </c>
      <c r="E20" s="16">
        <f>E10+E15</f>
        <v/>
      </c>
      <c r="F20" s="16">
        <f>F10+F15</f>
        <v/>
      </c>
      <c r="G20" s="16">
        <f>G10+G15</f>
        <v/>
      </c>
      <c r="H20" s="16">
        <f>H10+H15</f>
        <v/>
      </c>
      <c r="I20" s="16">
        <f>I10+I15</f>
        <v/>
      </c>
      <c r="J20" s="16">
        <f>J10+J15</f>
        <v/>
      </c>
    </row>
    <row r="21">
      <c r="A21" s="17" t="inlineStr">
        <is>
          <t xml:space="preserve">  Gross margin %</t>
        </is>
      </c>
      <c r="B21" s="18">
        <f>B20/B10</f>
        <v/>
      </c>
      <c r="C21" s="18">
        <f>C20/C10</f>
        <v/>
      </c>
      <c r="D21" s="18">
        <f>D20/D10</f>
        <v/>
      </c>
      <c r="E21" s="18">
        <f>E20/E10</f>
        <v/>
      </c>
      <c r="F21" s="18">
        <f>F20/F10</f>
        <v/>
      </c>
      <c r="G21" s="18">
        <f>G20/G10</f>
        <v/>
      </c>
      <c r="H21" s="18">
        <f>H20/H10</f>
        <v/>
      </c>
      <c r="I21" s="18">
        <f>I20/I10</f>
        <v/>
      </c>
      <c r="J21" s="18">
        <f>J20/J10</f>
        <v/>
      </c>
    </row>
    <row r="23">
      <c r="A23" s="8" t="inlineStr">
        <is>
          <t>OPERATING EXPENSES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</row>
    <row r="24">
      <c r="A24" s="11" t="inlineStr">
        <is>
          <t>Sales &amp; marketing expense</t>
        </is>
      </c>
      <c r="B24" s="12" t="n">
        <v>-104835</v>
      </c>
      <c r="C24" s="12" t="n">
        <v>-148798</v>
      </c>
      <c r="D24" s="12" t="n">
        <v>-193032</v>
      </c>
      <c r="E24" s="12" t="n">
        <v>-191990</v>
      </c>
      <c r="F24" s="15">
        <f>-F10*F25</f>
        <v/>
      </c>
      <c r="G24" s="15">
        <f>-G10*G25</f>
        <v/>
      </c>
      <c r="H24" s="15">
        <f>-H10*H25</f>
        <v/>
      </c>
      <c r="I24" s="15">
        <f>-I10*I25</f>
        <v/>
      </c>
      <c r="J24" s="15">
        <f>-J10*J25</f>
        <v/>
      </c>
    </row>
    <row r="25">
      <c r="A25" s="17" t="inlineStr">
        <is>
          <t xml:space="preserve">  S&amp;M as % of revenue</t>
        </is>
      </c>
      <c r="F25" s="21" t="n">
        <v>0.058</v>
      </c>
      <c r="G25" s="21" t="n">
        <v>0.052</v>
      </c>
      <c r="H25" s="21" t="n">
        <v>0.048</v>
      </c>
      <c r="I25" s="21" t="n">
        <v>0.045</v>
      </c>
      <c r="J25" s="21" t="n">
        <v>0.044</v>
      </c>
    </row>
    <row r="26">
      <c r="A26" s="17" t="inlineStr">
        <is>
          <t xml:space="preserve">  S&amp;M as % of revenue (historical calc)</t>
        </is>
      </c>
      <c r="B26" s="18">
        <f>-B24/B10</f>
        <v/>
      </c>
      <c r="C26" s="18">
        <f>-C24/C10</f>
        <v/>
      </c>
      <c r="D26" s="18">
        <f>-D24/D10</f>
        <v/>
      </c>
      <c r="E26" s="18">
        <f>-E24/E10</f>
        <v/>
      </c>
    </row>
    <row r="27">
      <c r="A27" s="11" t="inlineStr">
        <is>
          <t>General &amp; administrative expense</t>
        </is>
      </c>
      <c r="B27" s="12" t="n">
        <v>-201007</v>
      </c>
      <c r="C27" s="12" t="n">
        <v>-320144</v>
      </c>
      <c r="D27" s="12" t="n">
        <v>-316913</v>
      </c>
      <c r="E27" s="12" t="n">
        <v>-288828</v>
      </c>
      <c r="F27" s="15">
        <f>-F10*F28</f>
        <v/>
      </c>
      <c r="G27" s="15">
        <f>-G10*G28</f>
        <v/>
      </c>
      <c r="H27" s="15">
        <f>-H10*H28</f>
        <v/>
      </c>
      <c r="I27" s="15">
        <f>-I10*I28</f>
        <v/>
      </c>
      <c r="J27" s="15">
        <f>-J10*J28</f>
        <v/>
      </c>
    </row>
    <row r="28">
      <c r="A28" s="17" t="inlineStr">
        <is>
          <t xml:space="preserve">  G&amp;A as % of revenue</t>
        </is>
      </c>
      <c r="F28" s="21" t="n">
        <v>0.08799999999999999</v>
      </c>
      <c r="G28" s="21" t="n">
        <v>0.075</v>
      </c>
      <c r="H28" s="21" t="n">
        <v>0.065</v>
      </c>
      <c r="I28" s="21" t="n">
        <v>0.058</v>
      </c>
      <c r="J28" s="21" t="n">
        <v>0.054</v>
      </c>
    </row>
    <row r="29">
      <c r="A29" s="17" t="inlineStr">
        <is>
          <t xml:space="preserve">  G&amp;A as % of revenue (historical calc)</t>
        </is>
      </c>
      <c r="B29" s="18">
        <f>-B27/B10</f>
        <v/>
      </c>
      <c r="C29" s="18">
        <f>-C27/C10</f>
        <v/>
      </c>
      <c r="D29" s="18">
        <f>-D27/D10</f>
        <v/>
      </c>
      <c r="E29" s="18">
        <f>-E27/E10</f>
        <v/>
      </c>
    </row>
    <row r="30">
      <c r="A30" s="11" t="inlineStr">
        <is>
          <t>Research &amp; development expense</t>
        </is>
      </c>
      <c r="B30" s="12" t="n">
        <v>-555179</v>
      </c>
      <c r="C30" s="12" t="n">
        <v>-790547</v>
      </c>
      <c r="D30" s="12" t="n">
        <v>-855641</v>
      </c>
      <c r="E30" s="12" t="n">
        <v>-796940</v>
      </c>
      <c r="F30" s="15">
        <f>-F10*F31</f>
        <v/>
      </c>
      <c r="G30" s="15">
        <f>-G10*G31</f>
        <v/>
      </c>
      <c r="H30" s="15">
        <f>-H10*H31</f>
        <v/>
      </c>
      <c r="I30" s="15">
        <f>-I10*I31</f>
        <v/>
      </c>
      <c r="J30" s="15">
        <f>-J10*J31</f>
        <v/>
      </c>
    </row>
    <row r="31">
      <c r="A31" s="17" t="inlineStr">
        <is>
          <t xml:space="preserve">  R&amp;D as % of revenue</t>
        </is>
      </c>
      <c r="F31" s="21" t="n">
        <v>0.22</v>
      </c>
      <c r="G31" s="21" t="n">
        <v>0.19</v>
      </c>
      <c r="H31" s="21" t="n">
        <v>0.17</v>
      </c>
      <c r="I31" s="21" t="n">
        <v>0.155</v>
      </c>
      <c r="J31" s="21" t="n">
        <v>0.142</v>
      </c>
    </row>
    <row r="32">
      <c r="A32" s="17" t="inlineStr">
        <is>
          <t xml:space="preserve">  R&amp;D as % of revenue (historical calc)</t>
        </is>
      </c>
      <c r="B32" s="18">
        <f>-B30/B10</f>
        <v/>
      </c>
      <c r="C32" s="18">
        <f>-C30/C10</f>
        <v/>
      </c>
      <c r="D32" s="18">
        <f>-D30/D10</f>
        <v/>
      </c>
      <c r="E32" s="18">
        <f>-E30/E10</f>
        <v/>
      </c>
    </row>
    <row r="33">
      <c r="A33" s="11" t="inlineStr">
        <is>
          <t>Other operating income, net</t>
        </is>
      </c>
      <c r="B33" s="12" t="n">
        <v>10817</v>
      </c>
      <c r="C33" s="12" t="n">
        <v>26520</v>
      </c>
      <c r="D33" s="12" t="n">
        <v>276093</v>
      </c>
      <c r="E33" s="12" t="n">
        <v>181415</v>
      </c>
      <c r="F33" s="12" t="n">
        <v>80000</v>
      </c>
      <c r="G33" s="12" t="n">
        <v>60000</v>
      </c>
      <c r="H33" s="12" t="n">
        <v>50000</v>
      </c>
      <c r="I33" s="12" t="n">
        <v>50000</v>
      </c>
      <c r="J33" s="12" t="n">
        <v>50000</v>
      </c>
    </row>
    <row r="34">
      <c r="A34" s="10" t="inlineStr">
        <is>
          <t>Total operating expenses</t>
        </is>
      </c>
      <c r="B34" s="16">
        <f>B24+B27+B30+B33</f>
        <v/>
      </c>
      <c r="C34" s="16">
        <f>C24+C27+C30+C33</f>
        <v/>
      </c>
      <c r="D34" s="16">
        <f>D24+D27+D30+D33</f>
        <v/>
      </c>
      <c r="E34" s="16">
        <f>E24+E27+E30+E33</f>
        <v/>
      </c>
      <c r="F34" s="16">
        <f>F24+F27+F30+F33</f>
        <v/>
      </c>
      <c r="G34" s="16">
        <f>G24+G27+G30+G33</f>
        <v/>
      </c>
      <c r="H34" s="16">
        <f>H24+H27+H30+H33</f>
        <v/>
      </c>
      <c r="I34" s="16">
        <f>I24+I27+I30+I33</f>
        <v/>
      </c>
      <c r="J34" s="16">
        <f>J24+J27+J30+J33</f>
        <v/>
      </c>
    </row>
    <row r="35">
      <c r="A35" s="10" t="inlineStr">
        <is>
          <t>OPERATING INCOME (LOSS)</t>
        </is>
      </c>
      <c r="B35" s="16">
        <f>B20+B34</f>
        <v/>
      </c>
      <c r="C35" s="16">
        <f>C20+C34</f>
        <v/>
      </c>
      <c r="D35" s="16">
        <f>D20+D34</f>
        <v/>
      </c>
      <c r="E35" s="16">
        <f>E20+E34</f>
        <v/>
      </c>
      <c r="F35" s="16">
        <f>F20+F34</f>
        <v/>
      </c>
      <c r="G35" s="16">
        <f>G20+G34</f>
        <v/>
      </c>
      <c r="H35" s="16">
        <f>H20+H34</f>
        <v/>
      </c>
      <c r="I35" s="16">
        <f>I20+I34</f>
        <v/>
      </c>
      <c r="J35" s="16">
        <f>J20+J34</f>
        <v/>
      </c>
    </row>
    <row r="36">
      <c r="A36" s="17" t="inlineStr">
        <is>
          <t xml:space="preserve">  Operating margin %</t>
        </is>
      </c>
      <c r="B36" s="18">
        <f>B35/B10</f>
        <v/>
      </c>
      <c r="C36" s="18">
        <f>C35/C10</f>
        <v/>
      </c>
      <c r="D36" s="18">
        <f>D35/D10</f>
        <v/>
      </c>
      <c r="E36" s="18">
        <f>E35/E10</f>
        <v/>
      </c>
      <c r="F36" s="18">
        <f>F35/F10</f>
        <v/>
      </c>
      <c r="G36" s="18">
        <f>G35/G10</f>
        <v/>
      </c>
      <c r="H36" s="18">
        <f>H35/H10</f>
        <v/>
      </c>
      <c r="I36" s="18">
        <f>I35/I10</f>
        <v/>
      </c>
      <c r="J36" s="18">
        <f>J35/J10</f>
        <v/>
      </c>
    </row>
    <row r="37">
      <c r="A37" s="17" t="inlineStr">
        <is>
          <t xml:space="preserve">  Memo: Depreciation &amp; Amortization</t>
        </is>
      </c>
      <c r="B37" s="12" t="n">
        <v>53634</v>
      </c>
      <c r="C37" s="12" t="n">
        <v>86268</v>
      </c>
      <c r="D37" s="12" t="n">
        <v>131809</v>
      </c>
      <c r="E37" s="12" t="n">
        <v>175000</v>
      </c>
      <c r="F37" s="12" t="n">
        <v>230000</v>
      </c>
      <c r="G37" s="12" t="n">
        <v>290000</v>
      </c>
      <c r="H37" s="12" t="n">
        <v>350000</v>
      </c>
      <c r="I37" s="12" t="n">
        <v>410000</v>
      </c>
      <c r="J37" s="12" t="n">
        <v>470000</v>
      </c>
    </row>
    <row r="38">
      <c r="A38" s="10" t="inlineStr">
        <is>
          <t>EBITDA = OpInc + D&amp;A</t>
        </is>
      </c>
      <c r="B38" s="14">
        <f>B35+B37</f>
        <v/>
      </c>
      <c r="C38" s="14">
        <f>C35+C37</f>
        <v/>
      </c>
      <c r="D38" s="14">
        <f>D35+D37</f>
        <v/>
      </c>
      <c r="E38" s="14">
        <f>E35+E37</f>
        <v/>
      </c>
      <c r="F38" s="14">
        <f>F35+F37</f>
        <v/>
      </c>
      <c r="G38" s="14">
        <f>G35+G37</f>
        <v/>
      </c>
      <c r="H38" s="14">
        <f>H35+H37</f>
        <v/>
      </c>
      <c r="I38" s="14">
        <f>I35+I37</f>
        <v/>
      </c>
      <c r="J38" s="14">
        <f>J35+J37</f>
        <v/>
      </c>
    </row>
    <row r="39">
      <c r="A39" s="17" t="inlineStr">
        <is>
          <t xml:space="preserve">  EBITDA margin %</t>
        </is>
      </c>
      <c r="B39" s="18">
        <f>B38/B10</f>
        <v/>
      </c>
      <c r="C39" s="18">
        <f>C38/C10</f>
        <v/>
      </c>
      <c r="D39" s="18">
        <f>D38/D10</f>
        <v/>
      </c>
      <c r="E39" s="18">
        <f>E38/E10</f>
        <v/>
      </c>
      <c r="F39" s="18">
        <f>F38/F10</f>
        <v/>
      </c>
      <c r="G39" s="18">
        <f>G38/G10</f>
        <v/>
      </c>
      <c r="H39" s="18">
        <f>H38/H10</f>
        <v/>
      </c>
      <c r="I39" s="18">
        <f>I38/I10</f>
        <v/>
      </c>
      <c r="J39" s="18">
        <f>J38/J10</f>
        <v/>
      </c>
    </row>
    <row r="41">
      <c r="A41" s="8" t="inlineStr">
        <is>
          <t>BELOW-THE-LINE</t>
        </is>
      </c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</row>
    <row r="42">
      <c r="A42" s="11" t="inlineStr">
        <is>
          <t>Interest income</t>
        </is>
      </c>
      <c r="B42" s="12" t="n">
        <v>58734</v>
      </c>
      <c r="C42" s="12" t="n">
        <v>99813</v>
      </c>
      <c r="D42" s="12" t="n">
        <v>104401</v>
      </c>
      <c r="E42" s="12" t="n">
        <v>130237</v>
      </c>
      <c r="F42" s="12" t="n">
        <v>165000</v>
      </c>
      <c r="G42" s="12" t="n">
        <v>200000</v>
      </c>
      <c r="H42" s="12" t="n">
        <v>235000</v>
      </c>
      <c r="I42" s="12" t="n">
        <v>270000</v>
      </c>
      <c r="J42" s="12" t="n">
        <v>305000</v>
      </c>
    </row>
    <row r="43">
      <c r="A43" s="11" t="inlineStr">
        <is>
          <t>Interest expense</t>
        </is>
      </c>
      <c r="B43" s="12" t="n">
        <v>0</v>
      </c>
      <c r="C43" s="12" t="n">
        <v>-3069</v>
      </c>
      <c r="D43" s="12" t="n">
        <v>-12827</v>
      </c>
      <c r="E43" s="12" t="n">
        <v>-18923</v>
      </c>
      <c r="F43" s="12" t="n">
        <v>-20000</v>
      </c>
      <c r="G43" s="12" t="n">
        <v>-22000</v>
      </c>
      <c r="H43" s="12" t="n">
        <v>-24000</v>
      </c>
      <c r="I43" s="12" t="n">
        <v>-26000</v>
      </c>
      <c r="J43" s="12" t="n">
        <v>-28000</v>
      </c>
    </row>
    <row r="44">
      <c r="A44" s="11" t="inlineStr">
        <is>
          <t>Foreign exchange gain (loss), net</t>
        </is>
      </c>
      <c r="B44" s="12" t="n">
        <v>20858</v>
      </c>
      <c r="C44" s="12" t="n">
        <v>-452</v>
      </c>
      <c r="D44" s="12" t="n">
        <v>14577</v>
      </c>
      <c r="E44" s="12" t="n">
        <v>2156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</row>
    <row r="45">
      <c r="A45" s="11" t="inlineStr">
        <is>
          <t>Other income (expense), net</t>
        </is>
      </c>
      <c r="B45" s="12" t="n">
        <v>-2161</v>
      </c>
      <c r="C45" s="12" t="n">
        <v>34</v>
      </c>
      <c r="D45" s="12" t="n">
        <v>-2476</v>
      </c>
      <c r="E45" s="12" t="n">
        <v>184566</v>
      </c>
      <c r="F45" s="12" t="n">
        <v>10000</v>
      </c>
      <c r="G45" s="12" t="n">
        <v>10000</v>
      </c>
      <c r="H45" s="12" t="n">
        <v>10000</v>
      </c>
      <c r="I45" s="12" t="n">
        <v>10000</v>
      </c>
      <c r="J45" s="12" t="n">
        <v>10000</v>
      </c>
    </row>
    <row r="46">
      <c r="A46" s="10" t="inlineStr">
        <is>
          <t>Pre-tax income</t>
        </is>
      </c>
      <c r="B46" s="13">
        <f>B35+B42+B43+B44+B45</f>
        <v/>
      </c>
      <c r="C46" s="13">
        <f>C35+C42+C43+C44+C45</f>
        <v/>
      </c>
      <c r="D46" s="13">
        <f>D35+D42+D43+D44+D45</f>
        <v/>
      </c>
      <c r="E46" s="13">
        <f>E35+E42+E43+E44+E45</f>
        <v/>
      </c>
      <c r="F46" s="13">
        <f>F35+F42+F43+F44+F45</f>
        <v/>
      </c>
      <c r="G46" s="13">
        <f>G35+G42+G43+G44+G45</f>
        <v/>
      </c>
      <c r="H46" s="13">
        <f>H35+H42+H43+H44+H45</f>
        <v/>
      </c>
      <c r="I46" s="13">
        <f>I35+I42+I43+I44+I45</f>
        <v/>
      </c>
      <c r="J46" s="13">
        <f>J35+J42+J43+J44+J45</f>
        <v/>
      </c>
    </row>
    <row r="47">
      <c r="A47" s="17" t="inlineStr">
        <is>
          <t xml:space="preserve">  Effective tax rate %</t>
        </is>
      </c>
      <c r="B47" s="21" t="n">
        <v>-0.0002</v>
      </c>
      <c r="C47" s="21" t="n">
        <v>0.0014</v>
      </c>
      <c r="D47" s="21" t="n">
        <v>0.0112</v>
      </c>
      <c r="E47" s="21" t="n">
        <v>0.066</v>
      </c>
      <c r="F47" s="21" t="n">
        <v>0.1</v>
      </c>
      <c r="G47" s="21" t="n">
        <v>0.12</v>
      </c>
      <c r="H47" s="21" t="n">
        <v>0.13</v>
      </c>
      <c r="I47" s="21" t="n">
        <v>0.13</v>
      </c>
      <c r="J47" s="21" t="n">
        <v>0.14</v>
      </c>
    </row>
    <row r="48">
      <c r="A48" s="11" t="inlineStr">
        <is>
          <t>Income tax (expense) / benefit</t>
        </is>
      </c>
      <c r="B48" s="12" t="n">
        <v>66</v>
      </c>
      <c r="C48" s="12" t="n">
        <v>-658</v>
      </c>
      <c r="D48" s="12" t="n">
        <v>-1130</v>
      </c>
      <c r="E48" s="12" t="n">
        <v>-30835</v>
      </c>
      <c r="F48" s="15">
        <f>-F46*F47</f>
        <v/>
      </c>
      <c r="G48" s="15">
        <f>-G46*G47</f>
        <v/>
      </c>
      <c r="H48" s="15">
        <f>-H46*H47</f>
        <v/>
      </c>
      <c r="I48" s="15">
        <f>-I46*I47</f>
        <v/>
      </c>
      <c r="J48" s="15">
        <f>-J46*J47</f>
        <v/>
      </c>
    </row>
    <row r="49">
      <c r="A49" s="11" t="inlineStr">
        <is>
          <t>Share of loss in equity method investment</t>
        </is>
      </c>
      <c r="B49" s="12" t="n">
        <v>-45</v>
      </c>
      <c r="C49" s="12" t="n">
        <v>-45</v>
      </c>
      <c r="D49" s="12" t="n">
        <v>-13</v>
      </c>
      <c r="E49" s="12" t="n">
        <v>-74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</row>
    <row r="50">
      <c r="A50" s="10" t="inlineStr">
        <is>
          <t>NET INCOME (LOSS)</t>
        </is>
      </c>
      <c r="B50" s="23">
        <f>B46+B48+B49</f>
        <v/>
      </c>
      <c r="C50" s="23">
        <f>C46+C48+C49</f>
        <v/>
      </c>
      <c r="D50" s="23">
        <f>D46+D48+D49</f>
        <v/>
      </c>
      <c r="E50" s="23">
        <f>E46+E48+E49</f>
        <v/>
      </c>
      <c r="F50" s="23">
        <f>F46+F48+F49</f>
        <v/>
      </c>
      <c r="G50" s="23">
        <f>G46+G48+G49</f>
        <v/>
      </c>
      <c r="H50" s="23">
        <f>H46+H48+H49</f>
        <v/>
      </c>
      <c r="I50" s="23">
        <f>I46+I48+I49</f>
        <v/>
      </c>
      <c r="J50" s="23">
        <f>J46+J48+J49</f>
        <v/>
      </c>
    </row>
    <row r="51">
      <c r="A51" s="17" t="inlineStr">
        <is>
          <t xml:space="preserve">  Net margin %</t>
        </is>
      </c>
      <c r="B51" s="18">
        <f>B50/B10</f>
        <v/>
      </c>
      <c r="C51" s="18">
        <f>C50/C10</f>
        <v/>
      </c>
      <c r="D51" s="18">
        <f>D50/D10</f>
        <v/>
      </c>
      <c r="E51" s="18">
        <f>E50/E10</f>
        <v/>
      </c>
      <c r="F51" s="18">
        <f>F50/F10</f>
        <v/>
      </c>
      <c r="G51" s="18">
        <f>G50/G10</f>
        <v/>
      </c>
      <c r="H51" s="18">
        <f>H50/H10</f>
        <v/>
      </c>
      <c r="I51" s="18">
        <f>I50/I10</f>
        <v/>
      </c>
      <c r="J51" s="18">
        <f>J50/J10</f>
        <v/>
      </c>
    </row>
    <row r="53">
      <c r="A53" s="8" t="inlineStr">
        <is>
          <t>SHARES OUTSTANDING &amp; EPS</t>
        </is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</row>
    <row r="54">
      <c r="A54" s="11" t="inlineStr">
        <is>
          <t>Diluted weighted-avg shares (thousands)</t>
        </is>
      </c>
      <c r="B54" s="12" t="n">
        <v>102000</v>
      </c>
      <c r="C54" s="12" t="n">
        <v>110000</v>
      </c>
      <c r="D54" s="12" t="n">
        <v>129188</v>
      </c>
      <c r="E54" s="12" t="n">
        <v>146437</v>
      </c>
      <c r="F54" s="12" t="n">
        <v>162000</v>
      </c>
      <c r="G54" s="12" t="n">
        <v>165000</v>
      </c>
      <c r="H54" s="12" t="n">
        <v>167000</v>
      </c>
      <c r="I54" s="12" t="n">
        <v>169000</v>
      </c>
      <c r="J54" s="12" t="n">
        <v>171000</v>
      </c>
    </row>
    <row r="55">
      <c r="A55" s="11" t="inlineStr">
        <is>
          <t>Diluted EPS (RMB)</t>
        </is>
      </c>
      <c r="B55" s="24">
        <f>B50/B54</f>
        <v/>
      </c>
      <c r="C55" s="24">
        <f>C50/C54</f>
        <v/>
      </c>
      <c r="D55" s="24">
        <f>D50/D54</f>
        <v/>
      </c>
      <c r="E55" s="24">
        <f>E50/E54</f>
        <v/>
      </c>
      <c r="F55" s="24">
        <f>F50/F54</f>
        <v/>
      </c>
      <c r="G55" s="24">
        <f>G50/G54</f>
        <v/>
      </c>
      <c r="H55" s="24">
        <f>H50/H54</f>
        <v/>
      </c>
      <c r="I55" s="24">
        <f>I50/I54</f>
        <v/>
      </c>
      <c r="J55" s="24">
        <f>J50/J54</f>
        <v/>
      </c>
    </row>
    <row r="56">
      <c r="A56" s="11" t="inlineStr">
        <is>
          <t>Diluted EPS (US$, @ 7.30 FX)</t>
        </is>
      </c>
      <c r="B56" s="19">
        <f>B55/7.3</f>
        <v/>
      </c>
      <c r="C56" s="19">
        <f>C55/7.3</f>
        <v/>
      </c>
      <c r="D56" s="19">
        <f>D55/7.3</f>
        <v/>
      </c>
      <c r="E56" s="19">
        <f>E55/7.3</f>
        <v/>
      </c>
      <c r="F56" s="19">
        <f>F55/7.3</f>
        <v/>
      </c>
      <c r="G56" s="19">
        <f>G55/7.3</f>
        <v/>
      </c>
      <c r="H56" s="19">
        <f>H55/7.3</f>
        <v/>
      </c>
      <c r="I56" s="19">
        <f>I55/7.3</f>
        <v/>
      </c>
      <c r="J56" s="19">
        <f>J55/7.3</f>
        <v/>
      </c>
    </row>
    <row r="57">
      <c r="A57" s="11" t="inlineStr">
        <is>
          <t>EPS per ADS (=1 ordinary share)</t>
        </is>
      </c>
      <c r="B57" s="19">
        <f>B55/7.3</f>
        <v/>
      </c>
      <c r="C57" s="19">
        <f>C55/7.3</f>
        <v/>
      </c>
      <c r="D57" s="19">
        <f>D55/7.3</f>
        <v/>
      </c>
      <c r="E57" s="19">
        <f>E55/7.3</f>
        <v/>
      </c>
      <c r="F57" s="19">
        <f>F55/7.3</f>
        <v/>
      </c>
      <c r="G57" s="19">
        <f>G55/7.3</f>
        <v/>
      </c>
      <c r="H57" s="19">
        <f>H55/7.3</f>
        <v/>
      </c>
      <c r="I57" s="19">
        <f>I55/7.3</f>
        <v/>
      </c>
      <c r="J57" s="19">
        <f>J55/7.3</f>
        <v/>
      </c>
    </row>
    <row r="59">
      <c r="A59" s="8" t="inlineStr">
        <is>
          <t>NON-GAAP RECONCILIATION (memo)</t>
        </is>
      </c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</row>
    <row r="60">
      <c r="A60" s="11" t="inlineStr">
        <is>
          <t>Reported net income (loss)</t>
        </is>
      </c>
      <c r="B60" s="20">
        <f>B50</f>
        <v/>
      </c>
      <c r="C60" s="20">
        <f>C50</f>
        <v/>
      </c>
      <c r="D60" s="20">
        <f>D50</f>
        <v/>
      </c>
      <c r="E60" s="20">
        <f>E50</f>
        <v/>
      </c>
      <c r="F60" s="20">
        <f>F50</f>
        <v/>
      </c>
      <c r="G60" s="20">
        <f>G50</f>
        <v/>
      </c>
      <c r="H60" s="20">
        <f>H50</f>
        <v/>
      </c>
      <c r="I60" s="20">
        <f>I50</f>
        <v/>
      </c>
      <c r="J60" s="20">
        <f>J50</f>
        <v/>
      </c>
    </row>
    <row r="61">
      <c r="A61" s="11" t="inlineStr">
        <is>
          <t>+ Share-based compensation</t>
        </is>
      </c>
      <c r="B61" s="12" t="n">
        <v>105219</v>
      </c>
      <c r="C61" s="12" t="n">
        <v>234624</v>
      </c>
      <c r="D61" s="12" t="n">
        <v>116064</v>
      </c>
      <c r="E61" s="12" t="n">
        <v>114651</v>
      </c>
      <c r="F61" s="12" t="n">
        <v>130000</v>
      </c>
      <c r="G61" s="12" t="n">
        <v>145000</v>
      </c>
      <c r="H61" s="12" t="n">
        <v>160000</v>
      </c>
      <c r="I61" s="12" t="n">
        <v>175000</v>
      </c>
      <c r="J61" s="12" t="n">
        <v>190000</v>
      </c>
    </row>
    <row r="62">
      <c r="A62" s="10" t="inlineStr">
        <is>
          <t>Non-GAAP net income</t>
        </is>
      </c>
      <c r="B62" s="13">
        <f>B50+B61</f>
        <v/>
      </c>
      <c r="C62" s="13">
        <f>C50+C61</f>
        <v/>
      </c>
      <c r="D62" s="13">
        <f>D50+D61</f>
        <v/>
      </c>
      <c r="E62" s="13">
        <f>E50+E61</f>
        <v/>
      </c>
      <c r="F62" s="13">
        <f>F50+F61</f>
        <v/>
      </c>
      <c r="G62" s="13">
        <f>G50+G61</f>
        <v/>
      </c>
      <c r="H62" s="13">
        <f>H50+H61</f>
        <v/>
      </c>
      <c r="I62" s="13">
        <f>I50+I61</f>
        <v/>
      </c>
      <c r="J62" s="13">
        <f>J50+J61</f>
        <v/>
      </c>
    </row>
    <row r="63">
      <c r="A63" s="17" t="inlineStr">
        <is>
          <t xml:space="preserve">  Non-GAAP net margin %</t>
        </is>
      </c>
      <c r="B63" s="18">
        <f>B62/B10</f>
        <v/>
      </c>
      <c r="C63" s="18">
        <f>C62/C10</f>
        <v/>
      </c>
      <c r="D63" s="18">
        <f>D62/D10</f>
        <v/>
      </c>
      <c r="E63" s="18">
        <f>E62/E10</f>
        <v/>
      </c>
      <c r="F63" s="18">
        <f>F62/F10</f>
        <v/>
      </c>
      <c r="G63" s="18">
        <f>G62/G10</f>
        <v/>
      </c>
      <c r="H63" s="18">
        <f>H62/H10</f>
        <v/>
      </c>
      <c r="I63" s="18">
        <f>I62/I10</f>
        <v/>
      </c>
      <c r="J63" s="18">
        <f>J62/J10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HESAI GROUP — CONSOLIDATED CASH FLOW STATEMENT</t>
        </is>
      </c>
    </row>
    <row r="2">
      <c r="A2" s="3" t="inlineStr">
        <is>
          <t>RMB thousands. Historicals 22-24 from 20-F; 25 from 6-K disclosure; 26-30E projected.</t>
        </is>
      </c>
    </row>
    <row r="4">
      <c r="A4" s="6" t="inlineStr">
        <is>
          <t>(RMB thousands)</t>
        </is>
      </c>
      <c r="B4" s="7" t="inlineStr">
        <is>
          <t>FY22A</t>
        </is>
      </c>
      <c r="C4" s="7" t="inlineStr">
        <is>
          <t>FY23A</t>
        </is>
      </c>
      <c r="D4" s="7" t="inlineStr">
        <is>
          <t>FY24A</t>
        </is>
      </c>
      <c r="E4" s="7" t="inlineStr">
        <is>
          <t>FY25A</t>
        </is>
      </c>
      <c r="F4" s="7" t="inlineStr">
        <is>
          <t>FY26E</t>
        </is>
      </c>
      <c r="G4" s="7" t="inlineStr">
        <is>
          <t>FY27E</t>
        </is>
      </c>
      <c r="H4" s="7" t="inlineStr">
        <is>
          <t>FY28E</t>
        </is>
      </c>
      <c r="I4" s="7" t="inlineStr">
        <is>
          <t>FY29E</t>
        </is>
      </c>
      <c r="J4" s="7" t="inlineStr">
        <is>
          <t>FY30E</t>
        </is>
      </c>
    </row>
    <row r="6">
      <c r="A6" s="8" t="inlineStr">
        <is>
          <t>OPERATING ACTIVITIES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</row>
    <row r="7">
      <c r="A7" s="11" t="inlineStr">
        <is>
          <t>Net income (loss)</t>
        </is>
      </c>
      <c r="B7" s="20">
        <f>'Income Statement'!B50</f>
        <v/>
      </c>
      <c r="C7" s="20">
        <f>'Income Statement'!C50</f>
        <v/>
      </c>
      <c r="D7" s="20">
        <f>'Income Statement'!D50</f>
        <v/>
      </c>
      <c r="E7" s="20">
        <f>'Income Statement'!E50</f>
        <v/>
      </c>
      <c r="F7" s="20">
        <f>'Income Statement'!F50</f>
        <v/>
      </c>
      <c r="G7" s="20">
        <f>'Income Statement'!G50</f>
        <v/>
      </c>
      <c r="H7" s="20">
        <f>'Income Statement'!H50</f>
        <v/>
      </c>
      <c r="I7" s="20">
        <f>'Income Statement'!I50</f>
        <v/>
      </c>
      <c r="J7" s="20">
        <f>'Income Statement'!J50</f>
        <v/>
      </c>
    </row>
    <row r="8">
      <c r="A8" s="11" t="inlineStr">
        <is>
          <t>+ Depreciation &amp; amortization</t>
        </is>
      </c>
      <c r="B8" s="20">
        <f>'Income Statement'!B37</f>
        <v/>
      </c>
      <c r="C8" s="20">
        <f>'Income Statement'!C37</f>
        <v/>
      </c>
      <c r="D8" s="20">
        <f>'Income Statement'!D37</f>
        <v/>
      </c>
      <c r="E8" s="20">
        <f>'Income Statement'!E37</f>
        <v/>
      </c>
      <c r="F8" s="20">
        <f>'Income Statement'!F37</f>
        <v/>
      </c>
      <c r="G8" s="20">
        <f>'Income Statement'!G37</f>
        <v/>
      </c>
      <c r="H8" s="20">
        <f>'Income Statement'!H37</f>
        <v/>
      </c>
      <c r="I8" s="20">
        <f>'Income Statement'!I37</f>
        <v/>
      </c>
      <c r="J8" s="20">
        <f>'Income Statement'!J37</f>
        <v/>
      </c>
    </row>
    <row r="9">
      <c r="A9" s="11" t="inlineStr">
        <is>
          <t>+ Share-based compensation</t>
        </is>
      </c>
      <c r="B9" s="20">
        <f>'Income Statement'!B61</f>
        <v/>
      </c>
      <c r="C9" s="20">
        <f>'Income Statement'!C61</f>
        <v/>
      </c>
      <c r="D9" s="20">
        <f>'Income Statement'!D61</f>
        <v/>
      </c>
      <c r="E9" s="20">
        <f>'Income Statement'!E61</f>
        <v/>
      </c>
      <c r="F9" s="20">
        <f>'Income Statement'!F61</f>
        <v/>
      </c>
      <c r="G9" s="20">
        <f>'Income Statement'!G61</f>
        <v/>
      </c>
      <c r="H9" s="20">
        <f>'Income Statement'!H61</f>
        <v/>
      </c>
      <c r="I9" s="20">
        <f>'Income Statement'!I61</f>
        <v/>
      </c>
      <c r="J9" s="20">
        <f>'Income Statement'!J61</f>
        <v/>
      </c>
    </row>
    <row r="10">
      <c r="A10" s="11" t="inlineStr">
        <is>
          <t>+ Other non-cash adjustments</t>
        </is>
      </c>
      <c r="B10" s="12" t="n">
        <v>37195</v>
      </c>
      <c r="C10" s="12" t="n">
        <v>56171</v>
      </c>
      <c r="D10" s="12" t="n">
        <v>54078</v>
      </c>
      <c r="E10" s="12" t="n">
        <v>30000</v>
      </c>
      <c r="F10" s="12" t="n">
        <v>25000</v>
      </c>
      <c r="G10" s="12" t="n">
        <v>25000</v>
      </c>
      <c r="H10" s="12" t="n">
        <v>25000</v>
      </c>
      <c r="I10" s="12" t="n">
        <v>25000</v>
      </c>
      <c r="J10" s="12" t="n">
        <v>25000</v>
      </c>
    </row>
    <row r="11">
      <c r="A11" s="11" t="inlineStr">
        <is>
          <t>Changes in working capital (input as % of revenue change)</t>
        </is>
      </c>
    </row>
    <row r="12">
      <c r="A12" s="17" t="inlineStr">
        <is>
          <t xml:space="preserve">  WC change as % of revenue change</t>
        </is>
      </c>
      <c r="B12" s="21" t="n">
        <v>-1.46</v>
      </c>
      <c r="C12" s="21" t="n">
        <v>-0.04</v>
      </c>
      <c r="D12" s="21" t="n">
        <v>-0.55</v>
      </c>
      <c r="E12" s="21" t="n">
        <v>-0.18</v>
      </c>
      <c r="F12" s="21" t="n">
        <v>-0.2</v>
      </c>
      <c r="G12" s="21" t="n">
        <v>-0.15</v>
      </c>
      <c r="H12" s="21" t="n">
        <v>-0.12</v>
      </c>
      <c r="I12" s="21" t="n">
        <v>-0.1</v>
      </c>
      <c r="J12" s="21" t="n">
        <v>-0.08</v>
      </c>
    </row>
    <row r="13">
      <c r="A13" s="11" t="inlineStr">
        <is>
          <t>Δ Working capital (calc)</t>
        </is>
      </c>
      <c r="B13" s="12" t="n">
        <v>-200000</v>
      </c>
      <c r="C13" s="15">
        <f>C12*('Income Statement'!C10-'Income Statement'!B10)</f>
        <v/>
      </c>
      <c r="D13" s="15">
        <f>D12*('Income Statement'!D10-'Income Statement'!C10)</f>
        <v/>
      </c>
      <c r="E13" s="15">
        <f>E12*('Income Statement'!E10-'Income Statement'!D10)</f>
        <v/>
      </c>
      <c r="F13" s="15">
        <f>F12*('Income Statement'!F10-'Income Statement'!E10)</f>
        <v/>
      </c>
      <c r="G13" s="15">
        <f>G12*('Income Statement'!G10-'Income Statement'!F10)</f>
        <v/>
      </c>
      <c r="H13" s="15">
        <f>H12*('Income Statement'!H10-'Income Statement'!G10)</f>
        <v/>
      </c>
      <c r="I13" s="15">
        <f>I12*('Income Statement'!I10-'Income Statement'!H10)</f>
        <v/>
      </c>
      <c r="J13" s="15">
        <f>J12*('Income Statement'!J10-'Income Statement'!I10)</f>
        <v/>
      </c>
    </row>
    <row r="14">
      <c r="A14" s="10" t="inlineStr">
        <is>
          <t>Cash from operating activities</t>
        </is>
      </c>
      <c r="B14" s="16">
        <f>SUM(B7:B10)+B13</f>
        <v/>
      </c>
      <c r="C14" s="16">
        <f>SUM(C7:C10)+C13</f>
        <v/>
      </c>
      <c r="D14" s="16">
        <f>SUM(D7:D10)+D13</f>
        <v/>
      </c>
      <c r="E14" s="16">
        <f>SUM(E7:E10)+E13</f>
        <v/>
      </c>
      <c r="F14" s="16">
        <f>SUM(F7:F10)+F13</f>
        <v/>
      </c>
      <c r="G14" s="16">
        <f>SUM(G7:G10)+G13</f>
        <v/>
      </c>
      <c r="H14" s="16">
        <f>SUM(H7:H10)+H13</f>
        <v/>
      </c>
      <c r="I14" s="16">
        <f>SUM(I7:I10)+I13</f>
        <v/>
      </c>
      <c r="J14" s="16">
        <f>SUM(J7:J10)+J13</f>
        <v/>
      </c>
    </row>
    <row r="16">
      <c r="A16" s="8" t="inlineStr">
        <is>
          <t>INVESTING ACTIVITIES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</row>
    <row r="17">
      <c r="A17" s="11" t="inlineStr">
        <is>
          <t>Capex (purchases of PP&amp;E)</t>
        </is>
      </c>
      <c r="B17" s="12" t="n">
        <v>-231210</v>
      </c>
      <c r="C17" s="12" t="n">
        <v>-406748</v>
      </c>
      <c r="D17" s="12" t="n">
        <v>-259541</v>
      </c>
      <c r="E17" s="12" t="n">
        <v>-360000</v>
      </c>
      <c r="F17" s="12" t="n">
        <v>-550000</v>
      </c>
      <c r="G17" s="12" t="n">
        <v>-700000</v>
      </c>
      <c r="H17" s="12" t="n">
        <v>-800000</v>
      </c>
      <c r="I17" s="12" t="n">
        <v>-850000</v>
      </c>
      <c r="J17" s="12" t="n">
        <v>-900000</v>
      </c>
    </row>
    <row r="18">
      <c r="A18" s="11" t="inlineStr">
        <is>
          <t>Purchases of intangibles</t>
        </is>
      </c>
      <c r="B18" s="12" t="n">
        <v>-9180</v>
      </c>
      <c r="C18" s="12" t="n">
        <v>-7925</v>
      </c>
      <c r="D18" s="12" t="n">
        <v>-11817</v>
      </c>
      <c r="E18" s="12" t="n">
        <v>-15000</v>
      </c>
      <c r="F18" s="12" t="n">
        <v>-18000</v>
      </c>
      <c r="G18" s="12" t="n">
        <v>-20000</v>
      </c>
      <c r="H18" s="12" t="n">
        <v>-22000</v>
      </c>
      <c r="I18" s="12" t="n">
        <v>-24000</v>
      </c>
      <c r="J18" s="12" t="n">
        <v>-26000</v>
      </c>
    </row>
    <row r="19">
      <c r="A19" s="11" t="inlineStr">
        <is>
          <t>Net short-term investments activity</t>
        </is>
      </c>
      <c r="B19" s="12" t="n">
        <v>1392000</v>
      </c>
      <c r="C19" s="12" t="n">
        <v>-621566</v>
      </c>
      <c r="D19" s="12" t="n">
        <v>1227234</v>
      </c>
      <c r="E19" s="12" t="n">
        <v>-2900000</v>
      </c>
      <c r="F19" s="12" t="n">
        <v>-200000</v>
      </c>
      <c r="G19" s="12" t="n">
        <v>-250000</v>
      </c>
      <c r="H19" s="12" t="n">
        <v>-300000</v>
      </c>
      <c r="I19" s="12" t="n">
        <v>-300000</v>
      </c>
      <c r="J19" s="12" t="n">
        <v>-300000</v>
      </c>
    </row>
    <row r="20">
      <c r="A20" s="11" t="inlineStr">
        <is>
          <t>Other investing (acquisitions, equity inv.)</t>
        </is>
      </c>
      <c r="B20" s="12" t="n">
        <v>-31964</v>
      </c>
      <c r="C20" s="12" t="n">
        <v>-24247</v>
      </c>
      <c r="D20" s="12" t="n">
        <v>0</v>
      </c>
      <c r="E20" s="12" t="n">
        <v>-2750000</v>
      </c>
      <c r="F20" s="12" t="n">
        <v>-100000</v>
      </c>
      <c r="G20" s="12" t="n">
        <v>-120000</v>
      </c>
      <c r="H20" s="12" t="n">
        <v>-140000</v>
      </c>
      <c r="I20" s="12" t="n">
        <v>-160000</v>
      </c>
      <c r="J20" s="12" t="n">
        <v>-180000</v>
      </c>
    </row>
    <row r="21">
      <c r="A21" s="10" t="inlineStr">
        <is>
          <t>Cash from investing</t>
        </is>
      </c>
      <c r="B21" s="13">
        <f>SUM(B17:B20)</f>
        <v/>
      </c>
      <c r="C21" s="13">
        <f>SUM(C17:C20)</f>
        <v/>
      </c>
      <c r="D21" s="13">
        <f>SUM(D17:D20)</f>
        <v/>
      </c>
      <c r="E21" s="13">
        <f>SUM(E17:E20)</f>
        <v/>
      </c>
      <c r="F21" s="13">
        <f>SUM(F17:F20)</f>
        <v/>
      </c>
      <c r="G21" s="13">
        <f>SUM(G17:G20)</f>
        <v/>
      </c>
      <c r="H21" s="13">
        <f>SUM(H17:H20)</f>
        <v/>
      </c>
      <c r="I21" s="13">
        <f>SUM(I17:I20)</f>
        <v/>
      </c>
      <c r="J21" s="13">
        <f>SUM(J17:J20)</f>
        <v/>
      </c>
    </row>
    <row r="23">
      <c r="A23" s="8" t="inlineStr">
        <is>
          <t>FREE CASH FLOW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</row>
    <row r="24">
      <c r="A24" s="10" t="inlineStr">
        <is>
          <t>Free cash flow (CFO + Capex + Intangibles)</t>
        </is>
      </c>
      <c r="B24" s="14">
        <f>B14+B17+B18</f>
        <v/>
      </c>
      <c r="C24" s="14">
        <f>C14+C17+C18</f>
        <v/>
      </c>
      <c r="D24" s="14">
        <f>D14+D17+D18</f>
        <v/>
      </c>
      <c r="E24" s="14">
        <f>E14+E17+E18</f>
        <v/>
      </c>
      <c r="F24" s="14">
        <f>F14+F17+F18</f>
        <v/>
      </c>
      <c r="G24" s="14">
        <f>G14+G17+G18</f>
        <v/>
      </c>
      <c r="H24" s="14">
        <f>H14+H17+H18</f>
        <v/>
      </c>
      <c r="I24" s="14">
        <f>I14+I17+I18</f>
        <v/>
      </c>
      <c r="J24" s="14">
        <f>J14+J17+J18</f>
        <v/>
      </c>
    </row>
    <row r="25">
      <c r="A25" s="17" t="inlineStr">
        <is>
          <t xml:space="preserve">  FCF margin %</t>
        </is>
      </c>
      <c r="B25" s="18">
        <f>B24/'Income Statement'!B10</f>
        <v/>
      </c>
      <c r="C25" s="18">
        <f>C24/'Income Statement'!C10</f>
        <v/>
      </c>
      <c r="D25" s="18">
        <f>D24/'Income Statement'!D10</f>
        <v/>
      </c>
      <c r="E25" s="18">
        <f>E24/'Income Statement'!E10</f>
        <v/>
      </c>
      <c r="F25" s="18">
        <f>F24/'Income Statement'!F10</f>
        <v/>
      </c>
      <c r="G25" s="18">
        <f>G24/'Income Statement'!G10</f>
        <v/>
      </c>
      <c r="H25" s="18">
        <f>H24/'Income Statement'!H10</f>
        <v/>
      </c>
      <c r="I25" s="18">
        <f>I24/'Income Statement'!I10</f>
        <v/>
      </c>
      <c r="J25" s="18">
        <f>J24/'Income Statement'!J10</f>
        <v/>
      </c>
    </row>
    <row r="27">
      <c r="A27" s="8" t="inlineStr">
        <is>
          <t>FINANCING ACTIVITIES</t>
        </is>
      </c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11" t="inlineStr">
        <is>
          <t>Proceeds from IPO / follow-on equity</t>
        </is>
      </c>
      <c r="B28" s="12" t="n">
        <v>0</v>
      </c>
      <c r="C28" s="12" t="n">
        <v>1225470</v>
      </c>
      <c r="D28" s="12" t="n">
        <v>0</v>
      </c>
      <c r="E28" s="12" t="n">
        <v>4400000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</row>
    <row r="29">
      <c r="A29" s="11" t="inlineStr">
        <is>
          <t>Net borrowings (issuance - repayment)</t>
        </is>
      </c>
      <c r="B29" s="12" t="n">
        <v>18472</v>
      </c>
      <c r="C29" s="12" t="n">
        <v>376592</v>
      </c>
      <c r="D29" s="12" t="n">
        <v>216536</v>
      </c>
      <c r="E29" s="12" t="n">
        <v>110000</v>
      </c>
      <c r="F29" s="12" t="n">
        <v>50000</v>
      </c>
      <c r="G29" s="12" t="n">
        <v>50000</v>
      </c>
      <c r="H29" s="12" t="n">
        <v>50000</v>
      </c>
      <c r="I29" s="12" t="n">
        <v>50000</v>
      </c>
      <c r="J29" s="12" t="n">
        <v>50000</v>
      </c>
    </row>
    <row r="30">
      <c r="A30" s="11" t="inlineStr">
        <is>
          <t>Option exercises / other</t>
        </is>
      </c>
      <c r="B30" s="12" t="n">
        <v>-3296</v>
      </c>
      <c r="C30" s="12" t="n">
        <v>-11626</v>
      </c>
      <c r="D30" s="12" t="n">
        <v>34139</v>
      </c>
      <c r="E30" s="12" t="n">
        <v>25000</v>
      </c>
      <c r="F30" s="12" t="n">
        <v>30000</v>
      </c>
      <c r="G30" s="12" t="n">
        <v>30000</v>
      </c>
      <c r="H30" s="12" t="n">
        <v>30000</v>
      </c>
      <c r="I30" s="12" t="n">
        <v>30000</v>
      </c>
      <c r="J30" s="12" t="n">
        <v>30000</v>
      </c>
    </row>
    <row r="31">
      <c r="A31" s="10" t="inlineStr">
        <is>
          <t>Cash from financing</t>
        </is>
      </c>
      <c r="B31" s="13">
        <f>SUM(B28:B30)</f>
        <v/>
      </c>
      <c r="C31" s="13">
        <f>SUM(C28:C30)</f>
        <v/>
      </c>
      <c r="D31" s="13">
        <f>SUM(D28:D30)</f>
        <v/>
      </c>
      <c r="E31" s="13">
        <f>SUM(E28:E30)</f>
        <v/>
      </c>
      <c r="F31" s="13">
        <f>SUM(F28:F30)</f>
        <v/>
      </c>
      <c r="G31" s="13">
        <f>SUM(G28:G30)</f>
        <v/>
      </c>
      <c r="H31" s="13">
        <f>SUM(H28:H30)</f>
        <v/>
      </c>
      <c r="I31" s="13">
        <f>SUM(I28:I30)</f>
        <v/>
      </c>
      <c r="J31" s="13">
        <f>SUM(J28:J30)</f>
        <v/>
      </c>
    </row>
    <row r="33">
      <c r="A33" s="11" t="inlineStr">
        <is>
          <t>FX effect on cash</t>
        </is>
      </c>
      <c r="B33" s="12" t="n">
        <v>42000</v>
      </c>
      <c r="C33" s="12" t="n">
        <v>13000</v>
      </c>
      <c r="D33" s="12" t="n">
        <v>15000</v>
      </c>
      <c r="E33" s="12" t="n">
        <v>-8000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</row>
    <row r="34">
      <c r="A34" s="10" t="inlineStr">
        <is>
          <t>Net change in cash</t>
        </is>
      </c>
      <c r="B34" s="13">
        <f>B14+B21+B31+B33</f>
        <v/>
      </c>
      <c r="C34" s="13">
        <f>C14+C21+C31+C33</f>
        <v/>
      </c>
      <c r="D34" s="13">
        <f>D14+D21+D31+D33</f>
        <v/>
      </c>
      <c r="E34" s="13">
        <f>E14+E21+E31+E33</f>
        <v/>
      </c>
      <c r="F34" s="13">
        <f>F14+F21+F31+F33</f>
        <v/>
      </c>
      <c r="G34" s="13">
        <f>G14+G21+G31+G33</f>
        <v/>
      </c>
      <c r="H34" s="13">
        <f>H14+H21+H31+H33</f>
        <v/>
      </c>
      <c r="I34" s="13">
        <f>I14+I21+I31+I33</f>
        <v/>
      </c>
      <c r="J34" s="13">
        <f>J14+J21+J31+J33</f>
        <v/>
      </c>
    </row>
    <row r="35">
      <c r="A35" s="11" t="inlineStr">
        <is>
          <t>Beginning cash &amp; equivalents</t>
        </is>
      </c>
      <c r="B35" s="12" t="n">
        <v>3110000</v>
      </c>
      <c r="C35" s="15">
        <f>B35+B34</f>
        <v/>
      </c>
      <c r="D35" s="15">
        <f>C35+C34</f>
        <v/>
      </c>
      <c r="E35" s="15">
        <f>D35+D34</f>
        <v/>
      </c>
      <c r="F35" s="15">
        <f>E35+E34</f>
        <v/>
      </c>
      <c r="G35" s="15">
        <f>F35+F34</f>
        <v/>
      </c>
      <c r="H35" s="15">
        <f>G35+G34</f>
        <v/>
      </c>
      <c r="I35" s="15">
        <f>H35+H34</f>
        <v/>
      </c>
      <c r="J35" s="15">
        <f>I35+I34</f>
        <v/>
      </c>
    </row>
    <row r="36">
      <c r="A36" s="10" t="inlineStr">
        <is>
          <t>Ending cash &amp; equivalents</t>
        </is>
      </c>
      <c r="B36" s="16">
        <f>B35+B34</f>
        <v/>
      </c>
      <c r="C36" s="16">
        <f>C35+C34</f>
        <v/>
      </c>
      <c r="D36" s="16">
        <f>D35+D34</f>
        <v/>
      </c>
      <c r="E36" s="16">
        <f>E35+E34</f>
        <v/>
      </c>
      <c r="F36" s="16">
        <f>F35+F34</f>
        <v/>
      </c>
      <c r="G36" s="16">
        <f>G35+G34</f>
        <v/>
      </c>
      <c r="H36" s="16">
        <f>H35+H34</f>
        <v/>
      </c>
      <c r="I36" s="16">
        <f>I35+I34</f>
        <v/>
      </c>
      <c r="J36" s="16">
        <f>J35+J34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HESAI GROUP — CONSOLIDATED BALANCE SHEET</t>
        </is>
      </c>
    </row>
    <row r="2">
      <c r="A2" s="3" t="inlineStr">
        <is>
          <t>RMB thousands as of December 31. Historicals 24/25 from 6-K disclosures; 22/23 from 20-F; 26-30E projected.</t>
        </is>
      </c>
    </row>
    <row r="4">
      <c r="A4" s="6" t="inlineStr">
        <is>
          <t>(RMB thousands)</t>
        </is>
      </c>
      <c r="B4" s="7" t="inlineStr">
        <is>
          <t>FY22A</t>
        </is>
      </c>
      <c r="C4" s="7" t="inlineStr">
        <is>
          <t>FY23A</t>
        </is>
      </c>
      <c r="D4" s="7" t="inlineStr">
        <is>
          <t>FY24A</t>
        </is>
      </c>
      <c r="E4" s="7" t="inlineStr">
        <is>
          <t>FY25A</t>
        </is>
      </c>
      <c r="F4" s="7" t="inlineStr">
        <is>
          <t>FY26E</t>
        </is>
      </c>
      <c r="G4" s="7" t="inlineStr">
        <is>
          <t>FY27E</t>
        </is>
      </c>
      <c r="H4" s="7" t="inlineStr">
        <is>
          <t>FY28E</t>
        </is>
      </c>
      <c r="I4" s="7" t="inlineStr">
        <is>
          <t>FY29E</t>
        </is>
      </c>
      <c r="J4" s="7" t="inlineStr">
        <is>
          <t>FY30E</t>
        </is>
      </c>
    </row>
    <row r="6">
      <c r="A6" s="8" t="inlineStr">
        <is>
          <t>CURRENT ASSETS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</row>
    <row r="7">
      <c r="A7" s="11" t="inlineStr">
        <is>
          <t>Cash &amp; equivalents</t>
        </is>
      </c>
      <c r="B7" s="12" t="n">
        <v>2935000</v>
      </c>
      <c r="C7" s="12" t="n">
        <v>2010000</v>
      </c>
      <c r="D7" s="12" t="n">
        <v>2838966</v>
      </c>
      <c r="E7" s="12" t="n">
        <v>1663492</v>
      </c>
      <c r="F7" s="12" t="n">
        <v>1800000</v>
      </c>
      <c r="G7" s="12" t="n">
        <v>2200000</v>
      </c>
      <c r="H7" s="12" t="n">
        <v>2800000</v>
      </c>
      <c r="I7" s="12" t="n">
        <v>3500000</v>
      </c>
      <c r="J7" s="12" t="n">
        <v>4400000</v>
      </c>
    </row>
    <row r="8">
      <c r="A8" s="11" t="inlineStr">
        <is>
          <t>Short-term investments</t>
        </is>
      </c>
      <c r="B8" s="12" t="n">
        <v>600000</v>
      </c>
      <c r="C8" s="12" t="n">
        <v>1700000</v>
      </c>
      <c r="D8" s="12" t="n">
        <v>362195</v>
      </c>
      <c r="E8" s="12" t="n">
        <v>3091856</v>
      </c>
      <c r="F8" s="12" t="n">
        <v>3300000</v>
      </c>
      <c r="G8" s="12" t="n">
        <v>3550000</v>
      </c>
      <c r="H8" s="12" t="n">
        <v>3850000</v>
      </c>
      <c r="I8" s="12" t="n">
        <v>4150000</v>
      </c>
      <c r="J8" s="12" t="n">
        <v>4450000</v>
      </c>
    </row>
    <row r="9">
      <c r="A9" s="11" t="inlineStr">
        <is>
          <t>Accounts receivable, net</t>
        </is>
      </c>
      <c r="B9" s="12" t="n">
        <v>485044</v>
      </c>
      <c r="C9" s="12" t="n">
        <v>524818</v>
      </c>
      <c r="D9" s="12" t="n">
        <v>765027</v>
      </c>
      <c r="E9" s="12" t="n">
        <v>1262220</v>
      </c>
      <c r="F9" s="12" t="n">
        <v>1850000</v>
      </c>
      <c r="G9" s="12" t="n">
        <v>2700000</v>
      </c>
      <c r="H9" s="12" t="n">
        <v>3650000</v>
      </c>
      <c r="I9" s="12" t="n">
        <v>4600000</v>
      </c>
      <c r="J9" s="12" t="n">
        <v>5550000</v>
      </c>
    </row>
    <row r="10">
      <c r="A10" s="11" t="inlineStr">
        <is>
          <t>Inventories</t>
        </is>
      </c>
      <c r="B10" s="12" t="n">
        <v>605000</v>
      </c>
      <c r="C10" s="12" t="n">
        <v>460000</v>
      </c>
      <c r="D10" s="12" t="n">
        <v>482137</v>
      </c>
      <c r="E10" s="12" t="n">
        <v>670453</v>
      </c>
      <c r="F10" s="12" t="n">
        <v>950000</v>
      </c>
      <c r="G10" s="12" t="n">
        <v>1300000</v>
      </c>
      <c r="H10" s="12" t="n">
        <v>1700000</v>
      </c>
      <c r="I10" s="12" t="n">
        <v>2100000</v>
      </c>
      <c r="J10" s="12" t="n">
        <v>2500000</v>
      </c>
    </row>
    <row r="11">
      <c r="A11" s="11" t="inlineStr">
        <is>
          <t>Notes receivable</t>
        </is>
      </c>
      <c r="B11" s="12" t="n">
        <v>0</v>
      </c>
      <c r="C11" s="12" t="n">
        <v>0</v>
      </c>
      <c r="D11" s="12" t="n">
        <v>22341</v>
      </c>
      <c r="E11" s="12" t="n">
        <v>94697</v>
      </c>
      <c r="F11" s="12" t="n">
        <v>130000</v>
      </c>
      <c r="G11" s="12" t="n">
        <v>175000</v>
      </c>
      <c r="H11" s="12" t="n">
        <v>220000</v>
      </c>
      <c r="I11" s="12" t="n">
        <v>270000</v>
      </c>
      <c r="J11" s="12" t="n">
        <v>330000</v>
      </c>
    </row>
    <row r="12">
      <c r="A12" s="11" t="inlineStr">
        <is>
          <t>Prepayments &amp; other current</t>
        </is>
      </c>
      <c r="B12" s="12" t="n">
        <v>110000</v>
      </c>
      <c r="C12" s="12" t="n">
        <v>110000</v>
      </c>
      <c r="D12" s="12" t="n">
        <v>193448</v>
      </c>
      <c r="E12" s="12" t="n">
        <v>282431</v>
      </c>
      <c r="F12" s="12" t="n">
        <v>360000</v>
      </c>
      <c r="G12" s="12" t="n">
        <v>460000</v>
      </c>
      <c r="H12" s="12" t="n">
        <v>580000</v>
      </c>
      <c r="I12" s="12" t="n">
        <v>720000</v>
      </c>
      <c r="J12" s="12" t="n">
        <v>860000</v>
      </c>
    </row>
    <row r="13">
      <c r="A13" s="11" t="inlineStr">
        <is>
          <t>Contract assets + due from related</t>
        </is>
      </c>
      <c r="B13" s="12" t="n">
        <v>12600</v>
      </c>
      <c r="C13" s="12" t="n">
        <v>24727</v>
      </c>
      <c r="D13" s="12" t="n">
        <v>14948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</row>
    <row r="14">
      <c r="A14" s="10" t="inlineStr">
        <is>
          <t>Total current assets</t>
        </is>
      </c>
      <c r="B14" s="16">
        <f>SUM(B7:B13)</f>
        <v/>
      </c>
      <c r="C14" s="16">
        <f>SUM(C7:C13)</f>
        <v/>
      </c>
      <c r="D14" s="16">
        <f>SUM(D7:D13)</f>
        <v/>
      </c>
      <c r="E14" s="16">
        <f>SUM(E7:E13)</f>
        <v/>
      </c>
      <c r="F14" s="16">
        <f>SUM(F7:F13)</f>
        <v/>
      </c>
      <c r="G14" s="16">
        <f>SUM(G7:G13)</f>
        <v/>
      </c>
      <c r="H14" s="16">
        <f>SUM(H7:H13)</f>
        <v/>
      </c>
      <c r="I14" s="16">
        <f>SUM(I7:I13)</f>
        <v/>
      </c>
      <c r="J14" s="16">
        <f>SUM(J7:J13)</f>
        <v/>
      </c>
    </row>
    <row r="16">
      <c r="A16" s="8" t="inlineStr">
        <is>
          <t>NON-CURRENT ASSETS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</row>
    <row r="17">
      <c r="A17" s="11" t="inlineStr">
        <is>
          <t>Property &amp; equipment, net</t>
        </is>
      </c>
      <c r="B17" s="12" t="n">
        <v>350000</v>
      </c>
      <c r="C17" s="12" t="n">
        <v>650000</v>
      </c>
      <c r="D17" s="12" t="n">
        <v>944218</v>
      </c>
      <c r="E17" s="12" t="n">
        <v>1099283</v>
      </c>
      <c r="F17" s="12" t="n">
        <v>1480000</v>
      </c>
      <c r="G17" s="12" t="n">
        <v>1930000</v>
      </c>
      <c r="H17" s="12" t="n">
        <v>2410000</v>
      </c>
      <c r="I17" s="12" t="n">
        <v>2890000</v>
      </c>
      <c r="J17" s="12" t="n">
        <v>3360000</v>
      </c>
    </row>
    <row r="18">
      <c r="A18" s="11" t="inlineStr">
        <is>
          <t>Long-term investments</t>
        </is>
      </c>
      <c r="B18" s="12" t="n">
        <v>10000</v>
      </c>
      <c r="C18" s="12" t="n">
        <v>25000</v>
      </c>
      <c r="D18" s="12" t="n">
        <v>31798</v>
      </c>
      <c r="E18" s="12" t="n">
        <v>2781670</v>
      </c>
      <c r="F18" s="12" t="n">
        <v>2900000</v>
      </c>
      <c r="G18" s="12" t="n">
        <v>3050000</v>
      </c>
      <c r="H18" s="12" t="n">
        <v>3200000</v>
      </c>
      <c r="I18" s="12" t="n">
        <v>3370000</v>
      </c>
      <c r="J18" s="12" t="n">
        <v>3550000</v>
      </c>
    </row>
    <row r="19">
      <c r="A19" s="11" t="inlineStr">
        <is>
          <t>Intangible assets, net</t>
        </is>
      </c>
      <c r="B19" s="12" t="n">
        <v>40000</v>
      </c>
      <c r="C19" s="12" t="n">
        <v>60000</v>
      </c>
      <c r="D19" s="12" t="n">
        <v>76554</v>
      </c>
      <c r="E19" s="12" t="n">
        <v>95507</v>
      </c>
      <c r="F19" s="12" t="n">
        <v>110000</v>
      </c>
      <c r="G19" s="12" t="n">
        <v>128000</v>
      </c>
      <c r="H19" s="12" t="n">
        <v>148000</v>
      </c>
      <c r="I19" s="12" t="n">
        <v>170000</v>
      </c>
      <c r="J19" s="12" t="n">
        <v>194000</v>
      </c>
    </row>
    <row r="20">
      <c r="A20" s="11" t="inlineStr">
        <is>
          <t>Land-use rights, net</t>
        </is>
      </c>
      <c r="B20" s="12" t="n">
        <v>20000</v>
      </c>
      <c r="C20" s="12" t="n">
        <v>30000</v>
      </c>
      <c r="D20" s="12" t="n">
        <v>39879</v>
      </c>
      <c r="E20" s="12" t="n">
        <v>39015</v>
      </c>
      <c r="F20" s="12" t="n">
        <v>38000</v>
      </c>
      <c r="G20" s="12" t="n">
        <v>37000</v>
      </c>
      <c r="H20" s="12" t="n">
        <v>36000</v>
      </c>
      <c r="I20" s="12" t="n">
        <v>35000</v>
      </c>
      <c r="J20" s="12" t="n">
        <v>34000</v>
      </c>
    </row>
    <row r="21">
      <c r="A21" s="11" t="inlineStr">
        <is>
          <t>Right-of-use assets</t>
        </is>
      </c>
      <c r="B21" s="12" t="n">
        <v>85000</v>
      </c>
      <c r="C21" s="12" t="n">
        <v>100000</v>
      </c>
      <c r="D21" s="12" t="n">
        <v>114260</v>
      </c>
      <c r="E21" s="12" t="n">
        <v>109318</v>
      </c>
      <c r="F21" s="12" t="n">
        <v>110000</v>
      </c>
      <c r="G21" s="12" t="n">
        <v>110000</v>
      </c>
      <c r="H21" s="12" t="n">
        <v>110000</v>
      </c>
      <c r="I21" s="12" t="n">
        <v>110000</v>
      </c>
      <c r="J21" s="12" t="n">
        <v>110000</v>
      </c>
    </row>
    <row r="22">
      <c r="A22" s="11" t="inlineStr">
        <is>
          <t>Other non-current</t>
        </is>
      </c>
      <c r="B22" s="12" t="n">
        <v>70000</v>
      </c>
      <c r="C22" s="12" t="n">
        <v>90000</v>
      </c>
      <c r="D22" s="12" t="n">
        <v>100246</v>
      </c>
      <c r="E22" s="12" t="n">
        <v>67322</v>
      </c>
      <c r="F22" s="12" t="n">
        <v>80000</v>
      </c>
      <c r="G22" s="12" t="n">
        <v>95000</v>
      </c>
      <c r="H22" s="12" t="n">
        <v>110000</v>
      </c>
      <c r="I22" s="12" t="n">
        <v>125000</v>
      </c>
      <c r="J22" s="12" t="n">
        <v>140000</v>
      </c>
    </row>
    <row r="23">
      <c r="A23" s="10" t="inlineStr">
        <is>
          <t>Total non-current assets</t>
        </is>
      </c>
      <c r="B23" s="14">
        <f>SUM(B17:B22)</f>
        <v/>
      </c>
      <c r="C23" s="14">
        <f>SUM(C17:C22)</f>
        <v/>
      </c>
      <c r="D23" s="14">
        <f>SUM(D17:D22)</f>
        <v/>
      </c>
      <c r="E23" s="14">
        <f>SUM(E17:E22)</f>
        <v/>
      </c>
      <c r="F23" s="14">
        <f>SUM(F17:F22)</f>
        <v/>
      </c>
      <c r="G23" s="14">
        <f>SUM(G17:G22)</f>
        <v/>
      </c>
      <c r="H23" s="14">
        <f>SUM(H17:H22)</f>
        <v/>
      </c>
      <c r="I23" s="14">
        <f>SUM(I17:I22)</f>
        <v/>
      </c>
      <c r="J23" s="14">
        <f>SUM(J17:J22)</f>
        <v/>
      </c>
    </row>
    <row r="25">
      <c r="A25" s="10" t="inlineStr">
        <is>
          <t>TOTAL ASSETS</t>
        </is>
      </c>
      <c r="B25" s="16">
        <f>B14+B23</f>
        <v/>
      </c>
      <c r="C25" s="16">
        <f>C14+C23</f>
        <v/>
      </c>
      <c r="D25" s="16">
        <f>D14+D23</f>
        <v/>
      </c>
      <c r="E25" s="16">
        <f>E14+E23</f>
        <v/>
      </c>
      <c r="F25" s="16">
        <f>F14+F23</f>
        <v/>
      </c>
      <c r="G25" s="16">
        <f>G14+G23</f>
        <v/>
      </c>
      <c r="H25" s="16">
        <f>H14+H23</f>
        <v/>
      </c>
      <c r="I25" s="16">
        <f>I14+I23</f>
        <v/>
      </c>
      <c r="J25" s="16">
        <f>J14+J23</f>
        <v/>
      </c>
    </row>
    <row r="27">
      <c r="A27" s="8" t="inlineStr">
        <is>
          <t>CURRENT LIABILITIES</t>
        </is>
      </c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11" t="inlineStr">
        <is>
          <t>Short-term borrowings</t>
        </is>
      </c>
      <c r="B28" s="12" t="n">
        <v>0</v>
      </c>
      <c r="C28" s="12" t="n">
        <v>111682</v>
      </c>
      <c r="D28" s="12" t="n">
        <v>345253</v>
      </c>
      <c r="E28" s="12" t="n">
        <v>448233</v>
      </c>
      <c r="F28" s="12" t="n">
        <v>480000</v>
      </c>
      <c r="G28" s="12" t="n">
        <v>520000</v>
      </c>
      <c r="H28" s="12" t="n">
        <v>560000</v>
      </c>
      <c r="I28" s="12" t="n">
        <v>600000</v>
      </c>
      <c r="J28" s="12" t="n">
        <v>640000</v>
      </c>
    </row>
    <row r="29">
      <c r="A29" s="11" t="inlineStr">
        <is>
          <t>Accounts payable</t>
        </is>
      </c>
      <c r="B29" s="12" t="n">
        <v>210000</v>
      </c>
      <c r="C29" s="12" t="n">
        <v>270000</v>
      </c>
      <c r="D29" s="12" t="n">
        <v>345011</v>
      </c>
      <c r="E29" s="12" t="n">
        <v>592560</v>
      </c>
      <c r="F29" s="12" t="n">
        <v>870000</v>
      </c>
      <c r="G29" s="12" t="n">
        <v>1240000</v>
      </c>
      <c r="H29" s="12" t="n">
        <v>1670000</v>
      </c>
      <c r="I29" s="12" t="n">
        <v>2090000</v>
      </c>
      <c r="J29" s="12" t="n">
        <v>2520000</v>
      </c>
    </row>
    <row r="30">
      <c r="A30" s="11" t="inlineStr">
        <is>
          <t>Notes payable</t>
        </is>
      </c>
      <c r="B30" s="12" t="n">
        <v>0</v>
      </c>
      <c r="C30" s="12" t="n">
        <v>7000</v>
      </c>
      <c r="D30" s="12" t="n">
        <v>10096</v>
      </c>
      <c r="E30" s="12" t="n">
        <v>150199</v>
      </c>
      <c r="F30" s="12" t="n">
        <v>200000</v>
      </c>
      <c r="G30" s="12" t="n">
        <v>260000</v>
      </c>
      <c r="H30" s="12" t="n">
        <v>320000</v>
      </c>
      <c r="I30" s="12" t="n">
        <v>380000</v>
      </c>
      <c r="J30" s="12" t="n">
        <v>440000</v>
      </c>
    </row>
    <row r="31">
      <c r="A31" s="11" t="inlineStr">
        <is>
          <t>Contract liabilities (deferred revenue)</t>
        </is>
      </c>
      <c r="B31" s="12" t="n">
        <v>40378</v>
      </c>
      <c r="C31" s="12" t="n">
        <v>79925</v>
      </c>
      <c r="D31" s="12" t="n">
        <v>32994</v>
      </c>
      <c r="E31" s="12" t="n">
        <v>21019</v>
      </c>
      <c r="F31" s="12" t="n">
        <v>28000</v>
      </c>
      <c r="G31" s="12" t="n">
        <v>35000</v>
      </c>
      <c r="H31" s="12" t="n">
        <v>42000</v>
      </c>
      <c r="I31" s="12" t="n">
        <v>50000</v>
      </c>
      <c r="J31" s="12" t="n">
        <v>58000</v>
      </c>
    </row>
    <row r="32">
      <c r="A32" s="11" t="inlineStr">
        <is>
          <t>Accrued warranty liability</t>
        </is>
      </c>
      <c r="B32" s="12" t="n">
        <v>20000</v>
      </c>
      <c r="C32" s="12" t="n">
        <v>30000</v>
      </c>
      <c r="D32" s="12" t="n">
        <v>43607</v>
      </c>
      <c r="E32" s="12" t="n">
        <v>77672</v>
      </c>
      <c r="F32" s="12" t="n">
        <v>105000</v>
      </c>
      <c r="G32" s="12" t="n">
        <v>140000</v>
      </c>
      <c r="H32" s="12" t="n">
        <v>180000</v>
      </c>
      <c r="I32" s="12" t="n">
        <v>220000</v>
      </c>
      <c r="J32" s="12" t="n">
        <v>260000</v>
      </c>
    </row>
    <row r="33">
      <c r="A33" s="11" t="inlineStr">
        <is>
          <t>Accrued expenses &amp; other current</t>
        </is>
      </c>
      <c r="B33" s="12" t="n">
        <v>300000</v>
      </c>
      <c r="C33" s="12" t="n">
        <v>380000</v>
      </c>
      <c r="D33" s="12" t="n">
        <v>516726</v>
      </c>
      <c r="E33" s="12" t="n">
        <v>578495</v>
      </c>
      <c r="F33" s="12" t="n">
        <v>720000</v>
      </c>
      <c r="G33" s="12" t="n">
        <v>900000</v>
      </c>
      <c r="H33" s="12" t="n">
        <v>1100000</v>
      </c>
      <c r="I33" s="12" t="n">
        <v>1320000</v>
      </c>
      <c r="J33" s="12" t="n">
        <v>1550000</v>
      </c>
    </row>
    <row r="34">
      <c r="A34" s="11" t="inlineStr">
        <is>
          <t>Income tax payable + due to related</t>
        </is>
      </c>
      <c r="B34" s="12" t="n">
        <v>0</v>
      </c>
      <c r="C34" s="12" t="n">
        <v>0</v>
      </c>
      <c r="D34" s="12" t="n">
        <v>335253</v>
      </c>
      <c r="E34" s="12" t="n">
        <v>27157</v>
      </c>
      <c r="F34" s="12" t="n">
        <v>30000</v>
      </c>
      <c r="G34" s="12" t="n">
        <v>40000</v>
      </c>
      <c r="H34" s="12" t="n">
        <v>50000</v>
      </c>
      <c r="I34" s="12" t="n">
        <v>60000</v>
      </c>
      <c r="J34" s="12" t="n">
        <v>75000</v>
      </c>
    </row>
    <row r="35">
      <c r="A35" s="10" t="inlineStr">
        <is>
          <t>Total current liabilities</t>
        </is>
      </c>
      <c r="B35" s="16">
        <f>SUM(B28:B34)</f>
        <v/>
      </c>
      <c r="C35" s="16">
        <f>SUM(C28:C34)</f>
        <v/>
      </c>
      <c r="D35" s="16">
        <f>SUM(D28:D34)</f>
        <v/>
      </c>
      <c r="E35" s="16">
        <f>SUM(E28:E34)</f>
        <v/>
      </c>
      <c r="F35" s="16">
        <f>SUM(F28:F34)</f>
        <v/>
      </c>
      <c r="G35" s="16">
        <f>SUM(G28:G34)</f>
        <v/>
      </c>
      <c r="H35" s="16">
        <f>SUM(H28:H34)</f>
        <v/>
      </c>
      <c r="I35" s="16">
        <f>SUM(I28:I34)</f>
        <v/>
      </c>
      <c r="J35" s="16">
        <f>SUM(J28:J34)</f>
        <v/>
      </c>
    </row>
    <row r="37">
      <c r="A37" s="8" t="inlineStr">
        <is>
          <t>NON-CURRENT LIABILITIES</t>
        </is>
      </c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</row>
    <row r="38">
      <c r="A38" s="11" t="inlineStr">
        <is>
          <t>Long-term borrowings</t>
        </is>
      </c>
      <c r="B38" s="12" t="n">
        <v>25000</v>
      </c>
      <c r="C38" s="12" t="n">
        <v>285000</v>
      </c>
      <c r="D38" s="12" t="n">
        <v>269438</v>
      </c>
      <c r="E38" s="12" t="n">
        <v>278727</v>
      </c>
      <c r="F38" s="12" t="n">
        <v>320000</v>
      </c>
      <c r="G38" s="12" t="n">
        <v>360000</v>
      </c>
      <c r="H38" s="12" t="n">
        <v>400000</v>
      </c>
      <c r="I38" s="12" t="n">
        <v>440000</v>
      </c>
      <c r="J38" s="12" t="n">
        <v>480000</v>
      </c>
    </row>
    <row r="39">
      <c r="A39" s="11" t="inlineStr">
        <is>
          <t>Operating lease liabilities (non-current)</t>
        </is>
      </c>
      <c r="B39" s="12" t="n">
        <v>60000</v>
      </c>
      <c r="C39" s="12" t="n">
        <v>80000</v>
      </c>
      <c r="D39" s="12" t="n">
        <v>98370</v>
      </c>
      <c r="E39" s="12" t="n">
        <v>85555</v>
      </c>
      <c r="F39" s="12" t="n">
        <v>90000</v>
      </c>
      <c r="G39" s="12" t="n">
        <v>95000</v>
      </c>
      <c r="H39" s="12" t="n">
        <v>100000</v>
      </c>
      <c r="I39" s="12" t="n">
        <v>105000</v>
      </c>
      <c r="J39" s="12" t="n">
        <v>110000</v>
      </c>
    </row>
    <row r="40">
      <c r="A40" s="11" t="inlineStr">
        <is>
          <t>Other non-current liabilities</t>
        </is>
      </c>
      <c r="B40" s="12" t="n">
        <v>25000</v>
      </c>
      <c r="C40" s="12" t="n">
        <v>50000</v>
      </c>
      <c r="D40" s="12" t="n">
        <v>61132</v>
      </c>
      <c r="E40" s="12" t="n">
        <v>42907</v>
      </c>
      <c r="F40" s="12" t="n">
        <v>50000</v>
      </c>
      <c r="G40" s="12" t="n">
        <v>60000</v>
      </c>
      <c r="H40" s="12" t="n">
        <v>70000</v>
      </c>
      <c r="I40" s="12" t="n">
        <v>80000</v>
      </c>
      <c r="J40" s="12" t="n">
        <v>90000</v>
      </c>
    </row>
    <row r="41">
      <c r="A41" s="10" t="inlineStr">
        <is>
          <t>Total non-current liabilities</t>
        </is>
      </c>
      <c r="B41" s="14">
        <f>SUM(B38:B40)</f>
        <v/>
      </c>
      <c r="C41" s="14">
        <f>SUM(C38:C40)</f>
        <v/>
      </c>
      <c r="D41" s="14">
        <f>SUM(D38:D40)</f>
        <v/>
      </c>
      <c r="E41" s="14">
        <f>SUM(E38:E40)</f>
        <v/>
      </c>
      <c r="F41" s="14">
        <f>SUM(F38:F40)</f>
        <v/>
      </c>
      <c r="G41" s="14">
        <f>SUM(G38:G40)</f>
        <v/>
      </c>
      <c r="H41" s="14">
        <f>SUM(H38:H40)</f>
        <v/>
      </c>
      <c r="I41" s="14">
        <f>SUM(I38:I40)</f>
        <v/>
      </c>
      <c r="J41" s="14">
        <f>SUM(J38:J40)</f>
        <v/>
      </c>
    </row>
    <row r="43">
      <c r="A43" s="10" t="inlineStr">
        <is>
          <t>TOTAL LIABILITIES</t>
        </is>
      </c>
      <c r="B43" s="16">
        <f>B35+B41</f>
        <v/>
      </c>
      <c r="C43" s="16">
        <f>C35+C41</f>
        <v/>
      </c>
      <c r="D43" s="16">
        <f>D35+D41</f>
        <v/>
      </c>
      <c r="E43" s="16">
        <f>E35+E41</f>
        <v/>
      </c>
      <c r="F43" s="16">
        <f>F35+F41</f>
        <v/>
      </c>
      <c r="G43" s="16">
        <f>G35+G41</f>
        <v/>
      </c>
      <c r="H43" s="16">
        <f>H35+H41</f>
        <v/>
      </c>
      <c r="I43" s="16">
        <f>I35+I41</f>
        <v/>
      </c>
      <c r="J43" s="16">
        <f>J35+J41</f>
        <v/>
      </c>
    </row>
    <row r="45">
      <c r="A45" s="8" t="inlineStr">
        <is>
          <t>SHAREHOLDERS' EQUITY</t>
        </is>
      </c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</row>
    <row r="46">
      <c r="A46" s="11" t="inlineStr">
        <is>
          <t>Common stock (Class A + Class B)</t>
        </is>
      </c>
      <c r="B46" s="12" t="n">
        <v>80</v>
      </c>
      <c r="C46" s="12" t="n">
        <v>85</v>
      </c>
      <c r="D46" s="12" t="n">
        <v>89</v>
      </c>
      <c r="E46" s="12" t="n">
        <v>107</v>
      </c>
      <c r="F46" s="12" t="n">
        <v>107</v>
      </c>
      <c r="G46" s="12" t="n">
        <v>107</v>
      </c>
      <c r="H46" s="12" t="n">
        <v>107</v>
      </c>
      <c r="I46" s="12" t="n">
        <v>107</v>
      </c>
      <c r="J46" s="12" t="n">
        <v>107</v>
      </c>
    </row>
    <row r="47">
      <c r="A47" s="11" t="inlineStr">
        <is>
          <t>Additional paid-in capital</t>
        </is>
      </c>
      <c r="B47" s="12" t="n">
        <v>6300000</v>
      </c>
      <c r="C47" s="12" t="n">
        <v>7400000</v>
      </c>
      <c r="D47" s="12" t="n">
        <v>7577113</v>
      </c>
      <c r="E47" s="12" t="n">
        <v>11925963</v>
      </c>
      <c r="F47" s="12" t="n">
        <v>11955963</v>
      </c>
      <c r="G47" s="12" t="n">
        <v>11985963</v>
      </c>
      <c r="H47" s="12" t="n">
        <v>12015963</v>
      </c>
      <c r="I47" s="12" t="n">
        <v>12045963</v>
      </c>
      <c r="J47" s="12" t="n">
        <v>12075963</v>
      </c>
    </row>
    <row r="48">
      <c r="A48" s="11" t="inlineStr">
        <is>
          <t>Subscription receivables</t>
        </is>
      </c>
      <c r="B48" s="12" t="n">
        <v>0</v>
      </c>
      <c r="C48" s="12" t="n">
        <v>-292721</v>
      </c>
      <c r="D48" s="12" t="n">
        <v>-292721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</row>
    <row r="49">
      <c r="A49" s="11" t="inlineStr">
        <is>
          <t>Accumulated OCI</t>
        </is>
      </c>
      <c r="B49" s="12" t="n">
        <v>25000</v>
      </c>
      <c r="C49" s="12" t="n">
        <v>38440</v>
      </c>
      <c r="D49" s="12" t="n">
        <v>56975</v>
      </c>
      <c r="E49" s="12" t="n">
        <v>6530</v>
      </c>
      <c r="F49" s="12" t="n">
        <v>6530</v>
      </c>
      <c r="G49" s="12" t="n">
        <v>6530</v>
      </c>
      <c r="H49" s="12" t="n">
        <v>6530</v>
      </c>
      <c r="I49" s="12" t="n">
        <v>6530</v>
      </c>
      <c r="J49" s="12" t="n">
        <v>6530</v>
      </c>
    </row>
    <row r="50">
      <c r="A50" s="11" t="inlineStr">
        <is>
          <t>Retained earnings (accumulated deficit)</t>
        </is>
      </c>
      <c r="B50" s="12" t="n">
        <v>-2831349</v>
      </c>
      <c r="C50" s="12" t="n">
        <v>-3307317</v>
      </c>
      <c r="D50" s="12" t="n">
        <v>-3409725</v>
      </c>
      <c r="E50" s="12" t="n">
        <v>-2973846</v>
      </c>
      <c r="F50" s="15">
        <f>E50+'Income Statement'!F50</f>
        <v/>
      </c>
      <c r="G50" s="15">
        <f>F50+'Income Statement'!G50</f>
        <v/>
      </c>
      <c r="H50" s="15">
        <f>G50+'Income Statement'!H50</f>
        <v/>
      </c>
      <c r="I50" s="15">
        <f>H50+'Income Statement'!I50</f>
        <v/>
      </c>
      <c r="J50" s="15">
        <f>I50+'Income Statement'!J50</f>
        <v/>
      </c>
    </row>
    <row r="51">
      <c r="A51" s="10" t="inlineStr">
        <is>
          <t>Total shareholders' equity</t>
        </is>
      </c>
      <c r="B51" s="14">
        <f>SUM(B46:B50)</f>
        <v/>
      </c>
      <c r="C51" s="14">
        <f>SUM(C46:C50)</f>
        <v/>
      </c>
      <c r="D51" s="14">
        <f>SUM(D46:D50)</f>
        <v/>
      </c>
      <c r="E51" s="14">
        <f>SUM(E46:E50)</f>
        <v/>
      </c>
      <c r="F51" s="14">
        <f>SUM(F46:F50)</f>
        <v/>
      </c>
      <c r="G51" s="14">
        <f>SUM(G46:G50)</f>
        <v/>
      </c>
      <c r="H51" s="14">
        <f>SUM(H46:H50)</f>
        <v/>
      </c>
      <c r="I51" s="14">
        <f>SUM(I46:I50)</f>
        <v/>
      </c>
      <c r="J51" s="14">
        <f>SUM(J46:J50)</f>
        <v/>
      </c>
    </row>
    <row r="53">
      <c r="A53" s="10" t="inlineStr">
        <is>
          <t>TOTAL LIABILITIES + EQUITY</t>
        </is>
      </c>
      <c r="B53" s="16">
        <f>B43+B51</f>
        <v/>
      </c>
      <c r="C53" s="16">
        <f>C43+C51</f>
        <v/>
      </c>
      <c r="D53" s="16">
        <f>D43+D51</f>
        <v/>
      </c>
      <c r="E53" s="16">
        <f>E43+E51</f>
        <v/>
      </c>
      <c r="F53" s="16">
        <f>F43+F51</f>
        <v/>
      </c>
      <c r="G53" s="16">
        <f>G43+G51</f>
        <v/>
      </c>
      <c r="H53" s="16">
        <f>H43+H51</f>
        <v/>
      </c>
      <c r="I53" s="16">
        <f>I43+I51</f>
        <v/>
      </c>
      <c r="J53" s="16">
        <f>J43+J51</f>
        <v/>
      </c>
    </row>
    <row r="55">
      <c r="A55" s="10" t="inlineStr">
        <is>
          <t>BALANCE CHECK (TA - TL&amp;E)</t>
        </is>
      </c>
      <c r="B55" s="13">
        <f>B25-B53</f>
        <v/>
      </c>
      <c r="C55" s="13">
        <f>C25-C53</f>
        <v/>
      </c>
      <c r="D55" s="13">
        <f>D25-D53</f>
        <v/>
      </c>
      <c r="E55" s="13">
        <f>E25-E53</f>
        <v/>
      </c>
      <c r="F55" s="13">
        <f>F25-F53</f>
        <v/>
      </c>
      <c r="G55" s="13">
        <f>G25-G53</f>
        <v/>
      </c>
      <c r="H55" s="13">
        <f>H25-H53</f>
        <v/>
      </c>
      <c r="I55" s="13">
        <f>I25-I53</f>
        <v/>
      </c>
      <c r="J55" s="13">
        <f>J25-J53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HESAI GROUP — DCF INPUTS</t>
        </is>
      </c>
    </row>
    <row r="2">
      <c r="A2" s="3" t="inlineStr">
        <is>
          <t>Unlevered FCF build for Task 3 valuation. RMB thousands.</t>
        </is>
      </c>
    </row>
    <row r="4">
      <c r="A4" s="6" t="inlineStr">
        <is>
          <t>(RMB thousands)</t>
        </is>
      </c>
      <c r="B4" s="7" t="inlineStr">
        <is>
          <t>FY22A</t>
        </is>
      </c>
      <c r="C4" s="7" t="inlineStr">
        <is>
          <t>FY23A</t>
        </is>
      </c>
      <c r="D4" s="7" t="inlineStr">
        <is>
          <t>FY24A</t>
        </is>
      </c>
      <c r="E4" s="7" t="inlineStr">
        <is>
          <t>FY25A</t>
        </is>
      </c>
      <c r="F4" s="7" t="inlineStr">
        <is>
          <t>FY26E</t>
        </is>
      </c>
      <c r="G4" s="7" t="inlineStr">
        <is>
          <t>FY27E</t>
        </is>
      </c>
      <c r="H4" s="7" t="inlineStr">
        <is>
          <t>FY28E</t>
        </is>
      </c>
      <c r="I4" s="7" t="inlineStr">
        <is>
          <t>FY29E</t>
        </is>
      </c>
      <c r="J4" s="7" t="inlineStr">
        <is>
          <t>FY30E</t>
        </is>
      </c>
    </row>
    <row r="6">
      <c r="A6" s="8" t="inlineStr">
        <is>
          <t>PROJECTED UNLEVERED FREE CASH FLOW (RMB thousands)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</row>
    <row r="7">
      <c r="A7" s="11" t="inlineStr">
        <is>
          <t>Net revenue</t>
        </is>
      </c>
      <c r="B7" s="20">
        <f>'Income Statement'!B10</f>
        <v/>
      </c>
      <c r="C7" s="20">
        <f>'Income Statement'!C10</f>
        <v/>
      </c>
      <c r="D7" s="20">
        <f>'Income Statement'!D10</f>
        <v/>
      </c>
      <c r="E7" s="20">
        <f>'Income Statement'!E10</f>
        <v/>
      </c>
      <c r="F7" s="20">
        <f>'Income Statement'!F10</f>
        <v/>
      </c>
      <c r="G7" s="20">
        <f>'Income Statement'!G10</f>
        <v/>
      </c>
      <c r="H7" s="20">
        <f>'Income Statement'!H10</f>
        <v/>
      </c>
      <c r="I7" s="20">
        <f>'Income Statement'!I10</f>
        <v/>
      </c>
      <c r="J7" s="20">
        <f>'Income Statement'!J10</f>
        <v/>
      </c>
    </row>
    <row r="8">
      <c r="A8" s="11" t="inlineStr">
        <is>
          <t>EBIT (Operating income)</t>
        </is>
      </c>
      <c r="B8" s="20">
        <f>'Income Statement'!B35</f>
        <v/>
      </c>
      <c r="C8" s="20">
        <f>'Income Statement'!C35</f>
        <v/>
      </c>
      <c r="D8" s="20">
        <f>'Income Statement'!D35</f>
        <v/>
      </c>
      <c r="E8" s="20">
        <f>'Income Statement'!E35</f>
        <v/>
      </c>
      <c r="F8" s="20">
        <f>'Income Statement'!F35</f>
        <v/>
      </c>
      <c r="G8" s="20">
        <f>'Income Statement'!G35</f>
        <v/>
      </c>
      <c r="H8" s="20">
        <f>'Income Statement'!H35</f>
        <v/>
      </c>
      <c r="I8" s="20">
        <f>'Income Statement'!I35</f>
        <v/>
      </c>
      <c r="J8" s="20">
        <f>'Income Statement'!J35</f>
        <v/>
      </c>
    </row>
    <row r="9">
      <c r="A9" s="11" t="inlineStr">
        <is>
          <t>Tax rate %</t>
        </is>
      </c>
      <c r="B9" s="25">
        <f>'Income Statement'!B47</f>
        <v/>
      </c>
      <c r="C9" s="25">
        <f>'Income Statement'!C47</f>
        <v/>
      </c>
      <c r="D9" s="25">
        <f>'Income Statement'!D47</f>
        <v/>
      </c>
      <c r="E9" s="25">
        <f>'Income Statement'!E47</f>
        <v/>
      </c>
      <c r="F9" s="25">
        <f>'Income Statement'!F47</f>
        <v/>
      </c>
      <c r="G9" s="25">
        <f>'Income Statement'!G47</f>
        <v/>
      </c>
      <c r="H9" s="25">
        <f>'Income Statement'!H47</f>
        <v/>
      </c>
      <c r="I9" s="25">
        <f>'Income Statement'!I47</f>
        <v/>
      </c>
      <c r="J9" s="25">
        <f>'Income Statement'!J47</f>
        <v/>
      </c>
    </row>
    <row r="10">
      <c r="A10" s="10" t="inlineStr">
        <is>
          <t>NOPAT = EBIT × (1-t)</t>
        </is>
      </c>
      <c r="B10" s="13">
        <f>B8*(1-B9)</f>
        <v/>
      </c>
      <c r="C10" s="13">
        <f>C8*(1-C9)</f>
        <v/>
      </c>
      <c r="D10" s="13">
        <f>D8*(1-D9)</f>
        <v/>
      </c>
      <c r="E10" s="13">
        <f>E8*(1-E9)</f>
        <v/>
      </c>
      <c r="F10" s="13">
        <f>F8*(1-F9)</f>
        <v/>
      </c>
      <c r="G10" s="13">
        <f>G8*(1-G9)</f>
        <v/>
      </c>
      <c r="H10" s="13">
        <f>H8*(1-H9)</f>
        <v/>
      </c>
      <c r="I10" s="13">
        <f>I8*(1-I9)</f>
        <v/>
      </c>
      <c r="J10" s="13">
        <f>J8*(1-J9)</f>
        <v/>
      </c>
    </row>
    <row r="11">
      <c r="A11" s="11" t="inlineStr">
        <is>
          <t>+ Depreciation &amp; amortization</t>
        </is>
      </c>
      <c r="B11" s="20">
        <f>'Income Statement'!B37</f>
        <v/>
      </c>
      <c r="C11" s="20">
        <f>'Income Statement'!C37</f>
        <v/>
      </c>
      <c r="D11" s="20">
        <f>'Income Statement'!D37</f>
        <v/>
      </c>
      <c r="E11" s="20">
        <f>'Income Statement'!E37</f>
        <v/>
      </c>
      <c r="F11" s="20">
        <f>'Income Statement'!F37</f>
        <v/>
      </c>
      <c r="G11" s="20">
        <f>'Income Statement'!G37</f>
        <v/>
      </c>
      <c r="H11" s="20">
        <f>'Income Statement'!H37</f>
        <v/>
      </c>
      <c r="I11" s="20">
        <f>'Income Statement'!I37</f>
        <v/>
      </c>
      <c r="J11" s="20">
        <f>'Income Statement'!J37</f>
        <v/>
      </c>
    </row>
    <row r="12">
      <c r="A12" s="11" t="inlineStr">
        <is>
          <t>− Capex</t>
        </is>
      </c>
      <c r="B12" s="20">
        <f>'Cash Flow'!B17</f>
        <v/>
      </c>
      <c r="C12" s="20">
        <f>'Cash Flow'!C17</f>
        <v/>
      </c>
      <c r="D12" s="20">
        <f>'Cash Flow'!D17</f>
        <v/>
      </c>
      <c r="E12" s="20">
        <f>'Cash Flow'!E17</f>
        <v/>
      </c>
      <c r="F12" s="20">
        <f>'Cash Flow'!F17</f>
        <v/>
      </c>
      <c r="G12" s="20">
        <f>'Cash Flow'!G17</f>
        <v/>
      </c>
      <c r="H12" s="20">
        <f>'Cash Flow'!H17</f>
        <v/>
      </c>
      <c r="I12" s="20">
        <f>'Cash Flow'!I17</f>
        <v/>
      </c>
      <c r="J12" s="20">
        <f>'Cash Flow'!J17</f>
        <v/>
      </c>
    </row>
    <row r="13">
      <c r="A13" s="11" t="inlineStr">
        <is>
          <t>− Δ Working capital</t>
        </is>
      </c>
      <c r="B13" s="20">
        <f>'Cash Flow'!B13</f>
        <v/>
      </c>
      <c r="C13" s="20">
        <f>'Cash Flow'!C13</f>
        <v/>
      </c>
      <c r="D13" s="20">
        <f>'Cash Flow'!D13</f>
        <v/>
      </c>
      <c r="E13" s="20">
        <f>'Cash Flow'!E13</f>
        <v/>
      </c>
      <c r="F13" s="20">
        <f>'Cash Flow'!F13</f>
        <v/>
      </c>
      <c r="G13" s="20">
        <f>'Cash Flow'!G13</f>
        <v/>
      </c>
      <c r="H13" s="20">
        <f>'Cash Flow'!H13</f>
        <v/>
      </c>
      <c r="I13" s="20">
        <f>'Cash Flow'!I13</f>
        <v/>
      </c>
      <c r="J13" s="20">
        <f>'Cash Flow'!J13</f>
        <v/>
      </c>
    </row>
    <row r="14">
      <c r="A14" s="10" t="inlineStr">
        <is>
          <t>UNLEVERED FCF</t>
        </is>
      </c>
      <c r="B14" s="16">
        <f>B10+B11+B12+B13</f>
        <v/>
      </c>
      <c r="C14" s="16">
        <f>C10+C11+C12+C13</f>
        <v/>
      </c>
      <c r="D14" s="16">
        <f>D10+D11+D12+D13</f>
        <v/>
      </c>
      <c r="E14" s="16">
        <f>E10+E11+E12+E13</f>
        <v/>
      </c>
      <c r="F14" s="16">
        <f>F10+F11+F12+F13</f>
        <v/>
      </c>
      <c r="G14" s="16">
        <f>G10+G11+G12+G13</f>
        <v/>
      </c>
      <c r="H14" s="16">
        <f>H10+H11+H12+H13</f>
        <v/>
      </c>
      <c r="I14" s="16">
        <f>I10+I11+I12+I13</f>
        <v/>
      </c>
      <c r="J14" s="16">
        <f>J10+J11+J12+J13</f>
        <v/>
      </c>
    </row>
    <row r="15">
      <c r="A15" s="17" t="inlineStr">
        <is>
          <t xml:space="preserve">  UFCF margin %</t>
        </is>
      </c>
      <c r="B15" s="18">
        <f>B14/'Income Statement'!B10</f>
        <v/>
      </c>
      <c r="C15" s="18">
        <f>C14/'Income Statement'!C10</f>
        <v/>
      </c>
      <c r="D15" s="18">
        <f>D14/'Income Statement'!D10</f>
        <v/>
      </c>
      <c r="E15" s="18">
        <f>E14/'Income Statement'!E10</f>
        <v/>
      </c>
      <c r="F15" s="18">
        <f>F14/'Income Statement'!F10</f>
        <v/>
      </c>
      <c r="G15" s="18">
        <f>G14/'Income Statement'!G10</f>
        <v/>
      </c>
      <c r="H15" s="18">
        <f>H14/'Income Statement'!H10</f>
        <v/>
      </c>
      <c r="I15" s="18">
        <f>I14/'Income Statement'!I10</f>
        <v/>
      </c>
      <c r="J15" s="18">
        <f>J14/'Income Statement'!J10</f>
        <v/>
      </c>
    </row>
    <row r="17">
      <c r="A17" s="8" t="inlineStr">
        <is>
          <t>DCF VALUATION ASSUMPTIONS (input)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11" t="inlineStr">
        <is>
          <t>WACC</t>
        </is>
      </c>
      <c r="B18" s="21" t="n">
        <v>0.115</v>
      </c>
    </row>
    <row r="19">
      <c r="A19" s="11" t="inlineStr">
        <is>
          <t>Risk-free rate (US 10Y)</t>
        </is>
      </c>
      <c r="B19" s="21" t="n">
        <v>0.045</v>
      </c>
    </row>
    <row r="20">
      <c r="A20" s="11" t="inlineStr">
        <is>
          <t>Equity risk premium</t>
        </is>
      </c>
      <c r="B20" s="21" t="n">
        <v>0.055</v>
      </c>
    </row>
    <row r="21">
      <c r="A21" s="11" t="inlineStr">
        <is>
          <t>China country risk premium</t>
        </is>
      </c>
      <c r="B21" s="21" t="n">
        <v>0.02</v>
      </c>
    </row>
    <row r="22">
      <c r="A22" s="11" t="inlineStr">
        <is>
          <t>Beta</t>
        </is>
      </c>
      <c r="B22" s="26" t="n">
        <v>1.45</v>
      </c>
    </row>
    <row r="23">
      <c r="A23" s="11" t="inlineStr">
        <is>
          <t>Cost of equity = Rf + β × (ERP + CRP)</t>
        </is>
      </c>
      <c r="B23" s="18">
        <f>B19+B22*(B20+B21)</f>
        <v/>
      </c>
    </row>
    <row r="24">
      <c r="A24" s="11" t="inlineStr">
        <is>
          <t>Pre-tax cost of debt</t>
        </is>
      </c>
      <c r="B24" s="21" t="n">
        <v>0.055</v>
      </c>
    </row>
    <row r="25">
      <c r="A25" s="11" t="inlineStr">
        <is>
          <t>Tax rate (long-run)</t>
        </is>
      </c>
      <c r="B25" s="21" t="n">
        <v>0.14</v>
      </c>
    </row>
    <row r="26">
      <c r="A26" s="11" t="inlineStr">
        <is>
          <t>After-tax cost of debt</t>
        </is>
      </c>
      <c r="B26" s="18">
        <f>B24*(1-B25)</f>
        <v/>
      </c>
    </row>
    <row r="27">
      <c r="A27" s="11" t="inlineStr">
        <is>
          <t>Target debt / (debt + equity)</t>
        </is>
      </c>
      <c r="B27" s="21" t="n">
        <v>0.1</v>
      </c>
    </row>
    <row r="28">
      <c r="A28" s="11" t="inlineStr">
        <is>
          <t>Terminal growth rate (perpetual)</t>
        </is>
      </c>
      <c r="B28" s="21" t="n">
        <v>0.03</v>
      </c>
    </row>
    <row r="29">
      <c r="A29" s="11" t="inlineStr">
        <is>
          <t>Net debt at FY25 (RMB '000)</t>
        </is>
      </c>
      <c r="B29" s="27" t="n">
        <v>-3500000</v>
      </c>
    </row>
    <row r="30">
      <c r="A30" s="11" t="inlineStr">
        <is>
          <t>Diluted shares outstanding FY25 (thousands)</t>
        </is>
      </c>
      <c r="B30" s="27" t="n">
        <v>146437</v>
      </c>
    </row>
    <row r="31">
      <c r="A31" s="11" t="inlineStr">
        <is>
          <t>USD/RMB</t>
        </is>
      </c>
      <c r="B31" s="26" t="n">
        <v>7.3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HESAI GROUP — SCENARIO ANALYSIS</t>
        </is>
      </c>
    </row>
    <row r="2">
      <c r="A2" s="3" t="inlineStr">
        <is>
          <t>Bull / Base / Bear at FY29E. RMB millions unless noted.</t>
        </is>
      </c>
    </row>
    <row r="4">
      <c r="A4" s="28" t="inlineStr">
        <is>
          <t>Driver / Output</t>
        </is>
      </c>
      <c r="B4" s="29" t="inlineStr">
        <is>
          <t>Bull</t>
        </is>
      </c>
      <c r="C4" s="29" t="inlineStr">
        <is>
          <t>Base</t>
        </is>
      </c>
      <c r="D4" s="29" t="inlineStr">
        <is>
          <t>Bear</t>
        </is>
      </c>
    </row>
    <row r="5">
      <c r="A5" s="30" t="inlineStr">
        <is>
          <t>ASSUMPTIONS (FY26E-FY29E)</t>
        </is>
      </c>
      <c r="B5" s="31" t="n"/>
      <c r="C5" s="31" t="n"/>
      <c r="D5" s="31" t="n"/>
    </row>
    <row r="6">
      <c r="A6" s="11" t="inlineStr">
        <is>
          <t>Total units CAGR FY25-FY29</t>
        </is>
      </c>
      <c r="B6" s="21" t="n">
        <v>0.6</v>
      </c>
      <c r="C6" s="21" t="n">
        <v>0.5</v>
      </c>
      <c r="D6" s="21" t="n">
        <v>0.38</v>
      </c>
    </row>
    <row r="7">
      <c r="A7" s="11" t="inlineStr">
        <is>
          <t>ADAS attach rate in China by FY29</t>
        </is>
      </c>
      <c r="B7" s="21" t="n">
        <v>0.45</v>
      </c>
      <c r="C7" s="21" t="n">
        <v>0.35</v>
      </c>
      <c r="D7" s="21" t="n">
        <v>0.25</v>
      </c>
    </row>
    <row r="8">
      <c r="A8" s="11" t="inlineStr">
        <is>
          <t>ADAS ASP decline % per year</t>
        </is>
      </c>
      <c r="B8" s="21" t="n">
        <v>-0.12</v>
      </c>
      <c r="C8" s="21" t="n">
        <v>-0.15</v>
      </c>
      <c r="D8" s="21" t="n">
        <v>-0.2</v>
      </c>
    </row>
    <row r="9">
      <c r="A9" s="11" t="inlineStr">
        <is>
          <t>Robotics unit growth (humanoid takeoff)</t>
        </is>
      </c>
      <c r="B9" s="21" t="n">
        <v>0.85</v>
      </c>
      <c r="C9" s="21" t="n">
        <v>0.65</v>
      </c>
      <c r="D9" s="21" t="n">
        <v>0.4</v>
      </c>
    </row>
    <row r="10">
      <c r="A10" s="11" t="inlineStr">
        <is>
          <t>Gross margin FY29E</t>
        </is>
      </c>
      <c r="B10" s="21" t="n">
        <v>0.45</v>
      </c>
      <c r="C10" s="21" t="n">
        <v>0.43</v>
      </c>
      <c r="D10" s="21" t="n">
        <v>0.36</v>
      </c>
    </row>
    <row r="11">
      <c r="A11" s="11" t="inlineStr">
        <is>
          <t>Operating margin FY29E</t>
        </is>
      </c>
      <c r="B11" s="21" t="n">
        <v>0.15</v>
      </c>
      <c r="C11" s="21" t="n">
        <v>0.12</v>
      </c>
      <c r="D11" s="21" t="n">
        <v>0.05</v>
      </c>
    </row>
    <row r="12">
      <c r="A12" s="11" t="inlineStr">
        <is>
          <t>R&amp;D as % revenue FY29E</t>
        </is>
      </c>
      <c r="B12" s="21" t="n">
        <v>0.13</v>
      </c>
      <c r="C12" s="21" t="n">
        <v>0.155</v>
      </c>
      <c r="D12" s="21" t="n">
        <v>0.18</v>
      </c>
    </row>
    <row r="13">
      <c r="A13" s="11" t="inlineStr">
        <is>
          <t>S&amp;M + G&amp;A as % revenue FY29E</t>
        </is>
      </c>
      <c r="B13" s="21" t="n">
        <v>0.08500000000000001</v>
      </c>
      <c r="C13" s="21" t="n">
        <v>0.103</v>
      </c>
      <c r="D13" s="21" t="n">
        <v>0.135</v>
      </c>
    </row>
    <row r="14">
      <c r="A14" s="11" t="inlineStr">
        <is>
          <t>Capex % of revenue FY29E</t>
        </is>
      </c>
      <c r="B14" s="21" t="n">
        <v>0.045</v>
      </c>
      <c r="C14" s="21" t="n">
        <v>0.055</v>
      </c>
      <c r="D14" s="21" t="n">
        <v>0.07000000000000001</v>
      </c>
    </row>
    <row r="16">
      <c r="A16" s="30" t="inlineStr">
        <is>
          <t>FY29E OUTPUTS (RMB millions)</t>
        </is>
      </c>
      <c r="B16" s="31" t="n"/>
      <c r="C16" s="31" t="n"/>
      <c r="D16" s="31" t="n"/>
    </row>
    <row r="17">
      <c r="A17" s="32" t="inlineStr">
        <is>
          <t>FY29E Revenue (RMB M)</t>
        </is>
      </c>
      <c r="B17" s="33" t="n">
        <v>12500</v>
      </c>
      <c r="C17" s="33" t="n">
        <v>9100</v>
      </c>
      <c r="D17" s="33" t="n">
        <v>5600</v>
      </c>
    </row>
    <row r="18">
      <c r="A18" s="11" t="inlineStr">
        <is>
          <t>FY29E EBITDA (RMB M)</t>
        </is>
      </c>
      <c r="B18" s="12" t="n">
        <v>2280</v>
      </c>
      <c r="C18" s="12" t="n">
        <v>1320</v>
      </c>
      <c r="D18" s="12" t="n">
        <v>480</v>
      </c>
    </row>
    <row r="19">
      <c r="A19" s="11" t="inlineStr">
        <is>
          <t>FY29E EBITDA margin</t>
        </is>
      </c>
      <c r="B19" s="21" t="n">
        <v>0.182</v>
      </c>
      <c r="C19" s="21" t="n">
        <v>0.145</v>
      </c>
      <c r="D19" s="21" t="n">
        <v>0.08599999999999999</v>
      </c>
    </row>
    <row r="20">
      <c r="A20" s="11" t="inlineStr">
        <is>
          <t>FY29E Net income (RMB M)</t>
        </is>
      </c>
      <c r="B20" s="12" t="n">
        <v>1810</v>
      </c>
      <c r="C20" s="12" t="n">
        <v>1010</v>
      </c>
      <c r="D20" s="12" t="n">
        <v>270</v>
      </c>
    </row>
    <row r="21">
      <c r="A21" s="11" t="inlineStr">
        <is>
          <t>FY29E EPS (RMB, diluted)</t>
        </is>
      </c>
      <c r="B21" s="26" t="n">
        <v>10.71</v>
      </c>
      <c r="C21" s="26" t="n">
        <v>5.97</v>
      </c>
      <c r="D21" s="26" t="n">
        <v>1.62</v>
      </c>
    </row>
    <row r="22">
      <c r="A22" s="11" t="inlineStr">
        <is>
          <t>FY29E FCF (RMB M)</t>
        </is>
      </c>
      <c r="B22" s="12" t="n">
        <v>1450</v>
      </c>
      <c r="C22" s="12" t="n">
        <v>720</v>
      </c>
      <c r="D22" s="12" t="n">
        <v>70</v>
      </c>
    </row>
    <row r="23">
      <c r="A23" s="11" t="inlineStr">
        <is>
          <t>FY29E FCF margin</t>
        </is>
      </c>
      <c r="B23" s="21" t="n">
        <v>0.116</v>
      </c>
      <c r="C23" s="21" t="n">
        <v>0.079</v>
      </c>
      <c r="D23" s="21" t="n">
        <v>0.013</v>
      </c>
    </row>
    <row r="25">
      <c r="A25" s="11" t="inlineStr">
        <is>
          <t>Cumulative FCF FY26-FY29 (RMB M)</t>
        </is>
      </c>
      <c r="B25" s="12" t="n">
        <v>3700</v>
      </c>
      <c r="C25" s="12" t="n">
        <v>1900</v>
      </c>
      <c r="D25" s="12" t="n">
        <v>400</v>
      </c>
    </row>
    <row r="27">
      <c r="A27" s="30" t="inlineStr">
        <is>
          <t>IMPLIED VALUATION (US$ per ADS)</t>
        </is>
      </c>
      <c r="B27" s="31" t="n"/>
      <c r="C27" s="31" t="n"/>
      <c r="D27" s="31" t="n"/>
    </row>
    <row r="28">
      <c r="A28" s="11" t="inlineStr">
        <is>
          <t>DCF fair value (US$/ADS)</t>
        </is>
      </c>
      <c r="B28" s="34" t="n">
        <v>36.5</v>
      </c>
      <c r="C28" s="34" t="n">
        <v>26.8</v>
      </c>
      <c r="D28" s="34" t="n">
        <v>12.4</v>
      </c>
    </row>
    <row r="29">
      <c r="A29" s="11" t="inlineStr">
        <is>
          <t>Implied 18× FY27 P/E (US$/ADS)</t>
        </is>
      </c>
      <c r="B29" s="34" t="n">
        <v>38.2</v>
      </c>
      <c r="C29" s="34" t="n">
        <v>25.9</v>
      </c>
      <c r="D29" s="34" t="n">
        <v>11.6</v>
      </c>
    </row>
    <row r="30">
      <c r="A30" s="11" t="inlineStr">
        <is>
          <t>Implied 6× FY27 P/Sales (US$/ADS)</t>
        </is>
      </c>
      <c r="B30" s="34" t="n">
        <v>32.1</v>
      </c>
      <c r="C30" s="34" t="n">
        <v>23.4</v>
      </c>
      <c r="D30" s="34" t="n">
        <v>14.2</v>
      </c>
    </row>
    <row r="32">
      <c r="A32" s="28" t="inlineStr">
        <is>
          <t>SCENARIO NARRATIVE</t>
        </is>
      </c>
    </row>
    <row r="33" ht="75" customHeight="1">
      <c r="A33" s="35" t="inlineStr">
        <is>
          <t>Bull:  Hesai meets the upper bound of FY26 guidance (3.5M units) and ADAS attach rates in China reach 45% by FY29 driven by mandated L3 redundancy. Multi-lidar adoption (3-6 lidars/L3+ vehicle) lifts content/vehicle. FMC500 SoC and JT128 monetise the humanoid robotics ramp. Robosense remains the credible #2 but cedes share at premium tier; US OEM design-ins resume after favourable 1260H ruling. Gross margin holds 45% via Gen-4 ASIC + in-house emitters; FY29 revenue RMB 12.5bn / US$1.7bn; FY29 net income RMB 1.8bn / US$248M; trades to 22× '29 P/E.</t>
        </is>
      </c>
    </row>
    <row r="34" ht="75" customHeight="1">
      <c r="A34" s="35" t="inlineStr">
        <is>
          <t>Base:  FY26 shipments land at the midpoint (3.25M units) with ADAS attach in China rising to ~35% by FY29. ASPs compress -15%/yr as Chinese OEM price war persists. JT128 humanoid backlog converts to ~600K units/yr by FY29. Gross margin stable 42-43%; operating leverage drives net margin to ~16%. Top-1 customer concentration eases to &lt;20%. FY29 revenue RMB 9.1bn / US$1.25bn; FY29 net income RMB 1.0bn / US$140M; trades to ~18× '29 P/E.</t>
        </is>
      </c>
    </row>
    <row r="35" ht="75" customHeight="1">
      <c r="A35" s="35" t="inlineStr">
        <is>
          <t>Bear:  China ADAS attach rates plateau at ~25% by FY29 as Tesla-style vision-only stacks gain mind-share; Robosense underprices Hesai on volume bids, compressing ADAS gross margin below 35%. Renewed 1260H listing eliminates US OEM revenue. Lawnmower/humanoid ramps disappoint. FY29 revenue RMB 5.6bn / US$770M; net margin only 5%; market de-rates to 12× P/E given multiple compression risk; downside 45%.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HESAI GROUP — DISCOUNTED CASH FLOW VALUATION</t>
        </is>
      </c>
    </row>
    <row r="2">
      <c r="A2" s="3" t="inlineStr">
        <is>
          <t>RMB thousands. Explicit projection FY26E–FY30E. Terminal value via Gordon perpetuity AND exit-multiple methods.</t>
        </is>
      </c>
    </row>
    <row r="4">
      <c r="A4" s="6" t="inlineStr">
        <is>
          <t>(RMB thousands)</t>
        </is>
      </c>
      <c r="B4" s="36" t="inlineStr">
        <is>
          <t>FY26E</t>
        </is>
      </c>
      <c r="C4" s="36" t="inlineStr">
        <is>
          <t>FY27E</t>
        </is>
      </c>
      <c r="D4" s="36" t="inlineStr">
        <is>
          <t>FY28E</t>
        </is>
      </c>
      <c r="E4" s="36" t="inlineStr">
        <is>
          <t>FY29E</t>
        </is>
      </c>
      <c r="F4" s="36" t="inlineStr">
        <is>
          <t>FY30E</t>
        </is>
      </c>
    </row>
    <row r="6">
      <c r="A6" s="8" t="inlineStr">
        <is>
          <t>UNLEVERED FREE CASH FLOW BUILD</t>
        </is>
      </c>
      <c r="B6" s="9" t="n"/>
      <c r="C6" s="9" t="n"/>
      <c r="D6" s="9" t="n"/>
      <c r="E6" s="9" t="n"/>
      <c r="F6" s="9" t="n"/>
    </row>
    <row r="7">
      <c r="A7" s="11" t="inlineStr">
        <is>
          <t>Net revenue</t>
        </is>
      </c>
      <c r="B7" s="20">
        <f>'DCF Inputs'!F7</f>
        <v/>
      </c>
      <c r="C7" s="20">
        <f>'DCF Inputs'!G7</f>
        <v/>
      </c>
      <c r="D7" s="20">
        <f>'DCF Inputs'!H7</f>
        <v/>
      </c>
      <c r="E7" s="20">
        <f>'DCF Inputs'!I7</f>
        <v/>
      </c>
      <c r="F7" s="20">
        <f>'DCF Inputs'!J7</f>
        <v/>
      </c>
    </row>
    <row r="8">
      <c r="A8" s="11" t="inlineStr">
        <is>
          <t>EBIT</t>
        </is>
      </c>
      <c r="B8" s="20">
        <f>'DCF Inputs'!F8</f>
        <v/>
      </c>
      <c r="C8" s="20">
        <f>'DCF Inputs'!G8</f>
        <v/>
      </c>
      <c r="D8" s="20">
        <f>'DCF Inputs'!H8</f>
        <v/>
      </c>
      <c r="E8" s="20">
        <f>'DCF Inputs'!I8</f>
        <v/>
      </c>
      <c r="F8" s="20">
        <f>'DCF Inputs'!J8</f>
        <v/>
      </c>
    </row>
    <row r="9">
      <c r="A9" s="11" t="inlineStr">
        <is>
          <t>Tax rate</t>
        </is>
      </c>
      <c r="B9" s="25">
        <f>'DCF Inputs'!F9</f>
        <v/>
      </c>
      <c r="C9" s="25">
        <f>'DCF Inputs'!G9</f>
        <v/>
      </c>
      <c r="D9" s="25">
        <f>'DCF Inputs'!H9</f>
        <v/>
      </c>
      <c r="E9" s="25">
        <f>'DCF Inputs'!I9</f>
        <v/>
      </c>
      <c r="F9" s="25">
        <f>'DCF Inputs'!J9</f>
        <v/>
      </c>
    </row>
    <row r="10">
      <c r="A10" s="32" t="inlineStr">
        <is>
          <t>NOPAT = EBIT × (1−t)</t>
        </is>
      </c>
      <c r="B10" s="13">
        <f>B8*(1-B9)</f>
        <v/>
      </c>
      <c r="C10" s="13">
        <f>C8*(1-C9)</f>
        <v/>
      </c>
      <c r="D10" s="13">
        <f>D8*(1-D9)</f>
        <v/>
      </c>
      <c r="E10" s="13">
        <f>E8*(1-E9)</f>
        <v/>
      </c>
      <c r="F10" s="13">
        <f>F8*(1-F9)</f>
        <v/>
      </c>
    </row>
    <row r="11">
      <c r="A11" s="11" t="inlineStr">
        <is>
          <t>+ D&amp;A</t>
        </is>
      </c>
      <c r="B11" s="20">
        <f>'DCF Inputs'!F11</f>
        <v/>
      </c>
      <c r="C11" s="20">
        <f>'DCF Inputs'!G11</f>
        <v/>
      </c>
      <c r="D11" s="20">
        <f>'DCF Inputs'!H11</f>
        <v/>
      </c>
      <c r="E11" s="20">
        <f>'DCF Inputs'!I11</f>
        <v/>
      </c>
      <c r="F11" s="20">
        <f>'DCF Inputs'!J11</f>
        <v/>
      </c>
    </row>
    <row r="12">
      <c r="A12" s="11" t="inlineStr">
        <is>
          <t>− Capex</t>
        </is>
      </c>
      <c r="B12" s="20">
        <f>'DCF Inputs'!F12</f>
        <v/>
      </c>
      <c r="C12" s="20">
        <f>'DCF Inputs'!G12</f>
        <v/>
      </c>
      <c r="D12" s="20">
        <f>'DCF Inputs'!H12</f>
        <v/>
      </c>
      <c r="E12" s="20">
        <f>'DCF Inputs'!I12</f>
        <v/>
      </c>
      <c r="F12" s="20">
        <f>'DCF Inputs'!J12</f>
        <v/>
      </c>
    </row>
    <row r="13">
      <c r="A13" s="11" t="inlineStr">
        <is>
          <t>− Δ working capital</t>
        </is>
      </c>
      <c r="B13" s="20">
        <f>'DCF Inputs'!F13</f>
        <v/>
      </c>
      <c r="C13" s="20">
        <f>'DCF Inputs'!G13</f>
        <v/>
      </c>
      <c r="D13" s="20">
        <f>'DCF Inputs'!H13</f>
        <v/>
      </c>
      <c r="E13" s="20">
        <f>'DCF Inputs'!I13</f>
        <v/>
      </c>
      <c r="F13" s="20">
        <f>'DCF Inputs'!J13</f>
        <v/>
      </c>
    </row>
    <row r="14">
      <c r="A14" s="10" t="inlineStr">
        <is>
          <t>UNLEVERED FCF</t>
        </is>
      </c>
      <c r="B14" s="14">
        <f>B10+B11+B12+B13</f>
        <v/>
      </c>
      <c r="C14" s="14">
        <f>C10+C11+C12+C13</f>
        <v/>
      </c>
      <c r="D14" s="14">
        <f>D10+D11+D12+D13</f>
        <v/>
      </c>
      <c r="E14" s="14">
        <f>E10+E11+E12+E13</f>
        <v/>
      </c>
      <c r="F14" s="14">
        <f>F10+F11+F12+F13</f>
        <v/>
      </c>
    </row>
    <row r="15">
      <c r="A15" s="4" t="inlineStr">
        <is>
          <t xml:space="preserve">  UFCF margin %</t>
        </is>
      </c>
      <c r="B15" s="18">
        <f>B14/B7</f>
        <v/>
      </c>
      <c r="C15" s="18">
        <f>C14/C7</f>
        <v/>
      </c>
      <c r="D15" s="18">
        <f>D14/D7</f>
        <v/>
      </c>
      <c r="E15" s="18">
        <f>E14/E7</f>
        <v/>
      </c>
      <c r="F15" s="18">
        <f>F14/F7</f>
        <v/>
      </c>
    </row>
    <row r="17">
      <c r="A17" s="8" t="inlineStr">
        <is>
          <t>VALUATION ASSUMPTIONS</t>
        </is>
      </c>
      <c r="B17" s="9" t="n"/>
      <c r="C17" s="9" t="n"/>
      <c r="D17" s="9" t="n"/>
      <c r="E17" s="9" t="n"/>
      <c r="F17" s="9" t="n"/>
    </row>
    <row r="18">
      <c r="A18" s="11" t="inlineStr">
        <is>
          <t>Risk-free rate (US 10Y)</t>
        </is>
      </c>
      <c r="B18" s="21" t="n">
        <v>0.045</v>
      </c>
    </row>
    <row r="19">
      <c r="A19" s="11" t="inlineStr">
        <is>
          <t>Equity risk premium</t>
        </is>
      </c>
      <c r="B19" s="21" t="n">
        <v>0.055</v>
      </c>
    </row>
    <row r="20">
      <c r="A20" s="11" t="inlineStr">
        <is>
          <t>China country risk premium</t>
        </is>
      </c>
      <c r="B20" s="21" t="n">
        <v>0.01</v>
      </c>
    </row>
    <row r="21">
      <c r="A21" s="11" t="inlineStr">
        <is>
          <t>Beta (HSAI 3Y, regressed vs SPX/HSCI)</t>
        </is>
      </c>
      <c r="B21" s="26" t="n">
        <v>1.35</v>
      </c>
    </row>
    <row r="22">
      <c r="A22" s="11" t="inlineStr">
        <is>
          <t>Pre-tax cost of debt</t>
        </is>
      </c>
      <c r="B22" s="21" t="n">
        <v>0.055</v>
      </c>
    </row>
    <row r="23">
      <c r="A23" s="11" t="inlineStr">
        <is>
          <t>Long-run tax rate</t>
        </is>
      </c>
      <c r="B23" s="21" t="n">
        <v>0.14</v>
      </c>
    </row>
    <row r="24">
      <c r="A24" s="11" t="inlineStr">
        <is>
          <t>Target debt / (debt + equity)</t>
        </is>
      </c>
      <c r="B24" s="21" t="n">
        <v>0.1</v>
      </c>
    </row>
    <row r="25">
      <c r="A25" s="32" t="inlineStr">
        <is>
          <t>Cost of equity = Rf + β × ERP + CRP</t>
        </is>
      </c>
      <c r="B25" s="37">
        <f>B18+B21*B19+B20</f>
        <v/>
      </c>
    </row>
    <row r="26">
      <c r="A26" s="32" t="inlineStr">
        <is>
          <t>After-tax cost of debt</t>
        </is>
      </c>
      <c r="B26" s="37">
        <f>B22*(1-B23)</f>
        <v/>
      </c>
    </row>
    <row r="27">
      <c r="A27" s="32" t="inlineStr">
        <is>
          <t>WACC</t>
        </is>
      </c>
      <c r="B27" s="38">
        <f>(1-B24)*B25+B24*B26</f>
        <v/>
      </c>
    </row>
    <row r="28">
      <c r="A28" s="11" t="inlineStr">
        <is>
          <t>Terminal growth rate g (perpetual)</t>
        </is>
      </c>
      <c r="B28" s="21" t="n">
        <v>0.03</v>
      </c>
    </row>
    <row r="29">
      <c r="A29" s="11" t="inlineStr">
        <is>
          <t>Exit multiple (× FY30E EBITDA)</t>
        </is>
      </c>
      <c r="B29" s="39" t="n">
        <v>10</v>
      </c>
    </row>
    <row r="30">
      <c r="A30" s="11" t="inlineStr">
        <is>
          <t>Diluted shares at FY25 (thousands)</t>
        </is>
      </c>
      <c r="B30" s="12" t="n">
        <v>146437</v>
      </c>
    </row>
    <row r="31">
      <c r="A31" s="11" t="inlineStr">
        <is>
          <t>Cash + ST/LT investments at FY25 ('000)</t>
        </is>
      </c>
      <c r="B31" s="12" t="n">
        <v>7536000</v>
      </c>
    </row>
    <row r="32">
      <c r="A32" s="11" t="inlineStr">
        <is>
          <t>Total debt at FY25 ('000)</t>
        </is>
      </c>
      <c r="B32" s="12" t="n">
        <v>726960</v>
      </c>
    </row>
    <row r="33">
      <c r="A33" s="11" t="inlineStr">
        <is>
          <t>USD/RMB FX rate</t>
        </is>
      </c>
      <c r="B33" s="26" t="n">
        <v>7.3</v>
      </c>
    </row>
    <row r="34">
      <c r="A34" s="11" t="inlineStr">
        <is>
          <t>Current ADS price (US$)</t>
        </is>
      </c>
      <c r="B34" s="34" t="n">
        <v>22.44</v>
      </c>
    </row>
    <row r="36">
      <c r="A36" s="8" t="inlineStr">
        <is>
          <t>DISCOUNTING &amp; PRESENT VALUE</t>
        </is>
      </c>
      <c r="B36" s="9" t="n"/>
      <c r="C36" s="9" t="n"/>
      <c r="D36" s="9" t="n"/>
      <c r="E36" s="9" t="n"/>
      <c r="F36" s="9" t="n"/>
    </row>
    <row r="37">
      <c r="A37" s="11" t="inlineStr">
        <is>
          <t>Period (years from FY25)</t>
        </is>
      </c>
      <c r="B37" s="40" t="n">
        <v>1</v>
      </c>
      <c r="C37" s="40" t="n">
        <v>2</v>
      </c>
      <c r="D37" s="40" t="n">
        <v>3</v>
      </c>
      <c r="E37" s="40" t="n">
        <v>4</v>
      </c>
      <c r="F37" s="40" t="n">
        <v>5</v>
      </c>
    </row>
    <row r="38">
      <c r="A38" s="11" t="inlineStr">
        <is>
          <t>Discount factor = 1/(1+WACC)^t</t>
        </is>
      </c>
      <c r="B38" s="41">
        <f>1/(1+$B$27)^B37</f>
        <v/>
      </c>
      <c r="C38" s="41">
        <f>1/(1+$B$27)^C37</f>
        <v/>
      </c>
      <c r="D38" s="41">
        <f>1/(1+$B$27)^D37</f>
        <v/>
      </c>
      <c r="E38" s="41">
        <f>1/(1+$B$27)^E37</f>
        <v/>
      </c>
      <c r="F38" s="41">
        <f>1/(1+$B$27)^F37</f>
        <v/>
      </c>
    </row>
    <row r="39">
      <c r="A39" s="32" t="inlineStr">
        <is>
          <t>PV of UFCF</t>
        </is>
      </c>
      <c r="B39" s="13">
        <f>B14*B38</f>
        <v/>
      </c>
      <c r="C39" s="13">
        <f>C14*C38</f>
        <v/>
      </c>
      <c r="D39" s="13">
        <f>D14*D38</f>
        <v/>
      </c>
      <c r="E39" s="13">
        <f>E14*E38</f>
        <v/>
      </c>
      <c r="F39" s="13">
        <f>F14*F38</f>
        <v/>
      </c>
    </row>
    <row r="41">
      <c r="A41" s="8" t="inlineStr">
        <is>
          <t>METHOD A: GORDON PERPETUITY TERMINAL VALUE</t>
        </is>
      </c>
      <c r="B41" s="9" t="n"/>
      <c r="C41" s="9" t="n"/>
      <c r="D41" s="9" t="n"/>
      <c r="E41" s="9" t="n"/>
      <c r="F41" s="9" t="n"/>
    </row>
    <row r="42">
      <c r="A42" s="4" t="inlineStr">
        <is>
          <t>Sum of PV(UFCF) FY26-FY30</t>
        </is>
      </c>
      <c r="B42" s="15">
        <f>SUM(B39:F39)</f>
        <v/>
      </c>
    </row>
    <row r="43">
      <c r="A43" s="4" t="inlineStr">
        <is>
          <t>Terminal year UFCF (FY30E)</t>
        </is>
      </c>
      <c r="B43" s="15">
        <f>F14</f>
        <v/>
      </c>
    </row>
    <row r="44">
      <c r="A44" s="28" t="inlineStr">
        <is>
          <t>Terminal value (Gordon) = UFCF×(1+g)/(WACC−g)</t>
        </is>
      </c>
      <c r="B44" s="13">
        <f>B43*(1+B28)/(B27-B28)</f>
        <v/>
      </c>
    </row>
    <row r="45">
      <c r="A45" s="28" t="inlineStr">
        <is>
          <t>PV of Terminal Value (Gordon)</t>
        </is>
      </c>
      <c r="B45" s="13">
        <f>B44*F38</f>
        <v/>
      </c>
    </row>
    <row r="46">
      <c r="A46" s="28" t="inlineStr">
        <is>
          <t>Enterprise Value (Gordon)</t>
        </is>
      </c>
      <c r="B46" s="14">
        <f>B42+B45</f>
        <v/>
      </c>
    </row>
    <row r="47">
      <c r="A47" s="4" t="inlineStr">
        <is>
          <t>+ Cash &amp; investments (FY25)</t>
        </is>
      </c>
      <c r="B47" s="20">
        <f>B31</f>
        <v/>
      </c>
    </row>
    <row r="48">
      <c r="A48" s="4" t="inlineStr">
        <is>
          <t>− Total debt (FY25)</t>
        </is>
      </c>
      <c r="B48" s="20">
        <f>-B32</f>
        <v/>
      </c>
    </row>
    <row r="49">
      <c r="A49" s="28" t="inlineStr">
        <is>
          <t>Equity Value (Gordon, RMB '000)</t>
        </is>
      </c>
      <c r="B49" s="14">
        <f>B46+B31-B32</f>
        <v/>
      </c>
    </row>
    <row r="50">
      <c r="A50" s="28" t="inlineStr">
        <is>
          <t>Implied price / ADS (US$, Gordon)</t>
        </is>
      </c>
      <c r="B50" s="42">
        <f>B49/B30/B33</f>
        <v/>
      </c>
    </row>
    <row r="52">
      <c r="A52" s="8" t="inlineStr">
        <is>
          <t>METHOD B: EXIT MULTIPLE TERMINAL VALUE (× FY30E EBITDA)</t>
        </is>
      </c>
      <c r="B52" s="9" t="n"/>
      <c r="C52" s="9" t="n"/>
      <c r="D52" s="9" t="n"/>
      <c r="E52" s="9" t="n"/>
      <c r="F52" s="9" t="n"/>
    </row>
    <row r="53">
      <c r="A53" s="4" t="inlineStr">
        <is>
          <t>FY30E EBIT</t>
        </is>
      </c>
      <c r="B53" s="20">
        <f>F8</f>
        <v/>
      </c>
    </row>
    <row r="54">
      <c r="A54" s="4" t="inlineStr">
        <is>
          <t>FY30E D&amp;A</t>
        </is>
      </c>
      <c r="B54" s="20">
        <f>F11</f>
        <v/>
      </c>
    </row>
    <row r="55">
      <c r="A55" s="28" t="inlineStr">
        <is>
          <t>FY30E EBITDA</t>
        </is>
      </c>
      <c r="B55" s="13">
        <f>B53+B54</f>
        <v/>
      </c>
    </row>
    <row r="56">
      <c r="A56" s="28" t="inlineStr">
        <is>
          <t>Terminal value = EBITDA × Exit Multiple</t>
        </is>
      </c>
      <c r="B56" s="13">
        <f>B55*B29</f>
        <v/>
      </c>
    </row>
    <row r="57">
      <c r="A57" s="28" t="inlineStr">
        <is>
          <t>PV of Terminal Value (Exit Multiple)</t>
        </is>
      </c>
      <c r="B57" s="13">
        <f>B56*F38</f>
        <v/>
      </c>
    </row>
    <row r="58">
      <c r="A58" s="28" t="inlineStr">
        <is>
          <t>Enterprise Value (Exit Multiple)</t>
        </is>
      </c>
      <c r="B58" s="14">
        <f>B42+B57</f>
        <v/>
      </c>
    </row>
    <row r="59">
      <c r="A59" s="28" t="inlineStr">
        <is>
          <t>Equity Value (Exit Multiple, RMB '000)</t>
        </is>
      </c>
      <c r="B59" s="14">
        <f>B58+B31-B32</f>
        <v/>
      </c>
    </row>
    <row r="60">
      <c r="A60" s="28" t="inlineStr">
        <is>
          <t>Implied price / ADS (US$, Exit Multiple)</t>
        </is>
      </c>
      <c r="B60" s="42">
        <f>B59/B30/B33</f>
        <v/>
      </c>
    </row>
    <row r="62">
      <c r="A62" s="8" t="inlineStr">
        <is>
          <t>DCF BLENDED (50% Gordon / 50% Exit Multiple)</t>
        </is>
      </c>
      <c r="B62" s="9" t="n"/>
      <c r="C62" s="9" t="n"/>
      <c r="D62" s="9" t="n"/>
      <c r="E62" s="9" t="n"/>
      <c r="F62" s="9" t="n"/>
    </row>
    <row r="63">
      <c r="A63" s="28" t="inlineStr">
        <is>
          <t>Blended implied price / ADS (US$)</t>
        </is>
      </c>
      <c r="B63" s="42">
        <f>0.5*B50+0.5*B60</f>
        <v/>
      </c>
    </row>
    <row r="64">
      <c r="A64" s="4" t="inlineStr">
        <is>
          <t>Current price (US$)</t>
        </is>
      </c>
      <c r="B64" s="43">
        <f>B34</f>
        <v/>
      </c>
    </row>
    <row r="65">
      <c r="A65" s="28" t="inlineStr">
        <is>
          <t>Upside / (downside) %</t>
        </is>
      </c>
      <c r="B65" s="37">
        <f>B63/B64-1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HESAI GROUP — DCF SENSITIVITY TABLES</t>
        </is>
      </c>
    </row>
    <row r="2">
      <c r="A2" s="3" t="inlineStr">
        <is>
          <t>Price per ADS (US$) — Gordon perpetuity (top) &amp; exit multiple (bottom).</t>
        </is>
      </c>
    </row>
    <row r="4">
      <c r="A4" s="30" t="inlineStr">
        <is>
          <t>Table 1: WACC × Terminal Growth Rate (Gordon)</t>
        </is>
      </c>
    </row>
    <row r="5">
      <c r="A5" s="44" t="inlineStr">
        <is>
          <t>WACC ↓ / g →</t>
        </is>
      </c>
      <c r="B5" s="45" t="n">
        <v>0.02</v>
      </c>
      <c r="C5" s="45" t="n">
        <v>0.025</v>
      </c>
      <c r="D5" s="45" t="n">
        <v>0.03</v>
      </c>
      <c r="E5" s="45" t="n">
        <v>0.035</v>
      </c>
      <c r="F5" s="45" t="n">
        <v>0.04</v>
      </c>
    </row>
    <row r="6">
      <c r="A6" s="45" t="n">
        <v>0.09</v>
      </c>
      <c r="B6" s="19">
        <f>('DCF'!B14/1.090000+'DCF'!C14/1.188100+'DCF'!D14/1.295029+'DCF'!E14/1.411582+'DCF'!F14/1.538624+('DCF'!F14*1.0200/0.070000)/1.538624+'DCF'!B31-'DCF'!B32)/'DCF'!B30/'DCF'!B33</f>
        <v/>
      </c>
      <c r="C6" s="19">
        <f>('DCF'!B14/1.090000+'DCF'!C14/1.188100+'DCF'!D14/1.295029+'DCF'!E14/1.411582+'DCF'!F14/1.538624+('DCF'!F14*1.0250/0.065000)/1.538624+'DCF'!B31-'DCF'!B32)/'DCF'!B30/'DCF'!B33</f>
        <v/>
      </c>
      <c r="D6" s="19">
        <f>('DCF'!B14/1.090000+'DCF'!C14/1.188100+'DCF'!D14/1.295029+'DCF'!E14/1.411582+'DCF'!F14/1.538624+('DCF'!F14*1.0300/0.060000)/1.538624+'DCF'!B31-'DCF'!B32)/'DCF'!B30/'DCF'!B33</f>
        <v/>
      </c>
      <c r="E6" s="19">
        <f>('DCF'!B14/1.090000+'DCF'!C14/1.188100+'DCF'!D14/1.295029+'DCF'!E14/1.411582+'DCF'!F14/1.538624+('DCF'!F14*1.0350/0.055000)/1.538624+'DCF'!B31-'DCF'!B32)/'DCF'!B30/'DCF'!B33</f>
        <v/>
      </c>
      <c r="F6" s="19">
        <f>('DCF'!B14/1.090000+'DCF'!C14/1.188100+'DCF'!D14/1.295029+'DCF'!E14/1.411582+'DCF'!F14/1.538624+('DCF'!F14*1.0400/0.050000)/1.538624+'DCF'!B31-'DCF'!B32)/'DCF'!B30/'DCF'!B33</f>
        <v/>
      </c>
    </row>
    <row r="7">
      <c r="A7" s="45" t="n">
        <v>0.1</v>
      </c>
      <c r="B7" s="19">
        <f>('DCF'!B14/1.100000+'DCF'!C14/1.210000+'DCF'!D14/1.331000+'DCF'!E14/1.464100+'DCF'!F14/1.610510+('DCF'!F14*1.0200/0.080000)/1.610510+'DCF'!B31-'DCF'!B32)/'DCF'!B30/'DCF'!B33</f>
        <v/>
      </c>
      <c r="C7" s="19">
        <f>('DCF'!B14/1.100000+'DCF'!C14/1.210000+'DCF'!D14/1.331000+'DCF'!E14/1.464100+'DCF'!F14/1.610510+('DCF'!F14*1.0250/0.075000)/1.610510+'DCF'!B31-'DCF'!B32)/'DCF'!B30/'DCF'!B33</f>
        <v/>
      </c>
      <c r="D7" s="19">
        <f>('DCF'!B14/1.100000+'DCF'!C14/1.210000+'DCF'!D14/1.331000+'DCF'!E14/1.464100+'DCF'!F14/1.610510+('DCF'!F14*1.0300/0.070000)/1.610510+'DCF'!B31-'DCF'!B32)/'DCF'!B30/'DCF'!B33</f>
        <v/>
      </c>
      <c r="E7" s="19">
        <f>('DCF'!B14/1.100000+'DCF'!C14/1.210000+'DCF'!D14/1.331000+'DCF'!E14/1.464100+'DCF'!F14/1.610510+('DCF'!F14*1.0350/0.065000)/1.610510+'DCF'!B31-'DCF'!B32)/'DCF'!B30/'DCF'!B33</f>
        <v/>
      </c>
      <c r="F7" s="19">
        <f>('DCF'!B14/1.100000+'DCF'!C14/1.210000+'DCF'!D14/1.331000+'DCF'!E14/1.464100+'DCF'!F14/1.610510+('DCF'!F14*1.0400/0.060000)/1.610510+'DCF'!B31-'DCF'!B32)/'DCF'!B30/'DCF'!B33</f>
        <v/>
      </c>
    </row>
    <row r="8">
      <c r="A8" s="45" t="n">
        <v>0.105</v>
      </c>
      <c r="B8" s="19">
        <f>('DCF'!B14/1.105000+'DCF'!C14/1.221025+'DCF'!D14/1.349233+'DCF'!E14/1.490902+'DCF'!F14/1.647447+('DCF'!F14*1.0200/0.085000)/1.647447+'DCF'!B31-'DCF'!B32)/'DCF'!B30/'DCF'!B33</f>
        <v/>
      </c>
      <c r="C8" s="19">
        <f>('DCF'!B14/1.105000+'DCF'!C14/1.221025+'DCF'!D14/1.349233+'DCF'!E14/1.490902+'DCF'!F14/1.647447+('DCF'!F14*1.0250/0.080000)/1.647447+'DCF'!B31-'DCF'!B32)/'DCF'!B30/'DCF'!B33</f>
        <v/>
      </c>
      <c r="D8" s="19">
        <f>('DCF'!B14/1.105000+'DCF'!C14/1.221025+'DCF'!D14/1.349233+'DCF'!E14/1.490902+'DCF'!F14/1.647447+('DCF'!F14*1.0300/0.075000)/1.647447+'DCF'!B31-'DCF'!B32)/'DCF'!B30/'DCF'!B33</f>
        <v/>
      </c>
      <c r="E8" s="19">
        <f>('DCF'!B14/1.105000+'DCF'!C14/1.221025+'DCF'!D14/1.349233+'DCF'!E14/1.490902+'DCF'!F14/1.647447+('DCF'!F14*1.0350/0.070000)/1.647447+'DCF'!B31-'DCF'!B32)/'DCF'!B30/'DCF'!B33</f>
        <v/>
      </c>
      <c r="F8" s="19">
        <f>('DCF'!B14/1.105000+'DCF'!C14/1.221025+'DCF'!D14/1.349233+'DCF'!E14/1.490902+'DCF'!F14/1.647447+('DCF'!F14*1.0400/0.065000)/1.647447+'DCF'!B31-'DCF'!B32)/'DCF'!B30/'DCF'!B33</f>
        <v/>
      </c>
    </row>
    <row r="9">
      <c r="A9" s="45" t="n">
        <v>0.11</v>
      </c>
      <c r="B9" s="19">
        <f>('DCF'!B14/1.110000+'DCF'!C14/1.232100+'DCF'!D14/1.367631+'DCF'!E14/1.518070+'DCF'!F14/1.685058+('DCF'!F14*1.0200/0.090000)/1.685058+'DCF'!B31-'DCF'!B32)/'DCF'!B30/'DCF'!B33</f>
        <v/>
      </c>
      <c r="C9" s="19">
        <f>('DCF'!B14/1.110000+'DCF'!C14/1.232100+'DCF'!D14/1.367631+'DCF'!E14/1.518070+'DCF'!F14/1.685058+('DCF'!F14*1.0250/0.085000)/1.685058+'DCF'!B31-'DCF'!B32)/'DCF'!B30/'DCF'!B33</f>
        <v/>
      </c>
      <c r="D9" s="19">
        <f>('DCF'!B14/1.110000+'DCF'!C14/1.232100+'DCF'!D14/1.367631+'DCF'!E14/1.518070+'DCF'!F14/1.685058+('DCF'!F14*1.0300/0.080000)/1.685058+'DCF'!B31-'DCF'!B32)/'DCF'!B30/'DCF'!B33</f>
        <v/>
      </c>
      <c r="E9" s="19">
        <f>('DCF'!B14/1.110000+'DCF'!C14/1.232100+'DCF'!D14/1.367631+'DCF'!E14/1.518070+'DCF'!F14/1.685058+('DCF'!F14*1.0350/0.075000)/1.685058+'DCF'!B31-'DCF'!B32)/'DCF'!B30/'DCF'!B33</f>
        <v/>
      </c>
      <c r="F9" s="19">
        <f>('DCF'!B14/1.110000+'DCF'!C14/1.232100+'DCF'!D14/1.367631+'DCF'!E14/1.518070+'DCF'!F14/1.685058+('DCF'!F14*1.0400/0.070000)/1.685058+'DCF'!B31-'DCF'!B32)/'DCF'!B30/'DCF'!B33</f>
        <v/>
      </c>
    </row>
    <row r="10">
      <c r="A10" s="45" t="n">
        <v>0.115</v>
      </c>
      <c r="B10" s="19">
        <f>('DCF'!B14/1.115000+'DCF'!C14/1.243225+'DCF'!D14/1.386196+'DCF'!E14/1.545608+'DCF'!F14/1.723353+('DCF'!F14*1.0200/0.095000)/1.723353+'DCF'!B31-'DCF'!B32)/'DCF'!B30/'DCF'!B33</f>
        <v/>
      </c>
      <c r="C10" s="19">
        <f>('DCF'!B14/1.115000+'DCF'!C14/1.243225+'DCF'!D14/1.386196+'DCF'!E14/1.545608+'DCF'!F14/1.723353+('DCF'!F14*1.0250/0.090000)/1.723353+'DCF'!B31-'DCF'!B32)/'DCF'!B30/'DCF'!B33</f>
        <v/>
      </c>
      <c r="D10" s="19">
        <f>('DCF'!B14/1.115000+'DCF'!C14/1.243225+'DCF'!D14/1.386196+'DCF'!E14/1.545608+'DCF'!F14/1.723353+('DCF'!F14*1.0300/0.085000)/1.723353+'DCF'!B31-'DCF'!B32)/'DCF'!B30/'DCF'!B33</f>
        <v/>
      </c>
      <c r="E10" s="19">
        <f>('DCF'!B14/1.115000+'DCF'!C14/1.243225+'DCF'!D14/1.386196+'DCF'!E14/1.545608+'DCF'!F14/1.723353+('DCF'!F14*1.0350/0.080000)/1.723353+'DCF'!B31-'DCF'!B32)/'DCF'!B30/'DCF'!B33</f>
        <v/>
      </c>
      <c r="F10" s="19">
        <f>('DCF'!B14/1.115000+'DCF'!C14/1.243225+'DCF'!D14/1.386196+'DCF'!E14/1.545608+'DCF'!F14/1.723353+('DCF'!F14*1.0400/0.075000)/1.723353+'DCF'!B31-'DCF'!B32)/'DCF'!B30/'DCF'!B33</f>
        <v/>
      </c>
    </row>
    <row r="11">
      <c r="A11" s="45" t="n">
        <v>0.12</v>
      </c>
      <c r="B11" s="19">
        <f>('DCF'!B14/1.120000+'DCF'!C14/1.254400+'DCF'!D14/1.404928+'DCF'!E14/1.573519+'DCF'!F14/1.762342+('DCF'!F14*1.0200/0.100000)/1.762342+'DCF'!B31-'DCF'!B32)/'DCF'!B30/'DCF'!B33</f>
        <v/>
      </c>
      <c r="C11" s="19">
        <f>('DCF'!B14/1.120000+'DCF'!C14/1.254400+'DCF'!D14/1.404928+'DCF'!E14/1.573519+'DCF'!F14/1.762342+('DCF'!F14*1.0250/0.095000)/1.762342+'DCF'!B31-'DCF'!B32)/'DCF'!B30/'DCF'!B33</f>
        <v/>
      </c>
      <c r="D11" s="19">
        <f>('DCF'!B14/1.120000+'DCF'!C14/1.254400+'DCF'!D14/1.404928+'DCF'!E14/1.573519+'DCF'!F14/1.762342+('DCF'!F14*1.0300/0.090000)/1.762342+'DCF'!B31-'DCF'!B32)/'DCF'!B30/'DCF'!B33</f>
        <v/>
      </c>
      <c r="E11" s="19">
        <f>('DCF'!B14/1.120000+'DCF'!C14/1.254400+'DCF'!D14/1.404928+'DCF'!E14/1.573519+'DCF'!F14/1.762342+('DCF'!F14*1.0350/0.085000)/1.762342+'DCF'!B31-'DCF'!B32)/'DCF'!B30/'DCF'!B33</f>
        <v/>
      </c>
      <c r="F11" s="19">
        <f>('DCF'!B14/1.120000+'DCF'!C14/1.254400+'DCF'!D14/1.404928+'DCF'!E14/1.573519+'DCF'!F14/1.762342+('DCF'!F14*1.0400/0.080000)/1.762342+'DCF'!B31-'DCF'!B32)/'DCF'!B30/'DCF'!B33</f>
        <v/>
      </c>
    </row>
    <row r="12">
      <c r="A12" s="45" t="n">
        <v>0.13</v>
      </c>
      <c r="B12" s="19">
        <f>('DCF'!B14/1.130000+'DCF'!C14/1.276900+'DCF'!D14/1.442897+'DCF'!E14/1.630474+'DCF'!F14/1.842435+('DCF'!F14*1.0200/0.110000)/1.842435+'DCF'!B31-'DCF'!B32)/'DCF'!B30/'DCF'!B33</f>
        <v/>
      </c>
      <c r="C12" s="19">
        <f>('DCF'!B14/1.130000+'DCF'!C14/1.276900+'DCF'!D14/1.442897+'DCF'!E14/1.630474+'DCF'!F14/1.842435+('DCF'!F14*1.0250/0.105000)/1.842435+'DCF'!B31-'DCF'!B32)/'DCF'!B30/'DCF'!B33</f>
        <v/>
      </c>
      <c r="D12" s="19">
        <f>('DCF'!B14/1.130000+'DCF'!C14/1.276900+'DCF'!D14/1.442897+'DCF'!E14/1.630474+'DCF'!F14/1.842435+('DCF'!F14*1.0300/0.100000)/1.842435+'DCF'!B31-'DCF'!B32)/'DCF'!B30/'DCF'!B33</f>
        <v/>
      </c>
      <c r="E12" s="19">
        <f>('DCF'!B14/1.130000+'DCF'!C14/1.276900+'DCF'!D14/1.442897+'DCF'!E14/1.630474+'DCF'!F14/1.842435+('DCF'!F14*1.0350/0.095000)/1.842435+'DCF'!B31-'DCF'!B32)/'DCF'!B30/'DCF'!B33</f>
        <v/>
      </c>
      <c r="F12" s="19">
        <f>('DCF'!B14/1.130000+'DCF'!C14/1.276900+'DCF'!D14/1.442897+'DCF'!E14/1.630474+'DCF'!F14/1.842435+('DCF'!F14*1.0400/0.090000)/1.842435+'DCF'!B31-'DCF'!B32)/'DCF'!B30/'DCF'!B33</f>
        <v/>
      </c>
    </row>
    <row r="13">
      <c r="A13" s="45" t="n">
        <v>0.14</v>
      </c>
      <c r="B13" s="19">
        <f>('DCF'!B14/1.140000+'DCF'!C14/1.299600+'DCF'!D14/1.481544+'DCF'!E14/1.688960+'DCF'!F14/1.925415+('DCF'!F14*1.0200/0.120000)/1.925415+'DCF'!B31-'DCF'!B32)/'DCF'!B30/'DCF'!B33</f>
        <v/>
      </c>
      <c r="C13" s="19">
        <f>('DCF'!B14/1.140000+'DCF'!C14/1.299600+'DCF'!D14/1.481544+'DCF'!E14/1.688960+'DCF'!F14/1.925415+('DCF'!F14*1.0250/0.115000)/1.925415+'DCF'!B31-'DCF'!B32)/'DCF'!B30/'DCF'!B33</f>
        <v/>
      </c>
      <c r="D13" s="19">
        <f>('DCF'!B14/1.140000+'DCF'!C14/1.299600+'DCF'!D14/1.481544+'DCF'!E14/1.688960+'DCF'!F14/1.925415+('DCF'!F14*1.0300/0.110000)/1.925415+'DCF'!B31-'DCF'!B32)/'DCF'!B30/'DCF'!B33</f>
        <v/>
      </c>
      <c r="E13" s="19">
        <f>('DCF'!B14/1.140000+'DCF'!C14/1.299600+'DCF'!D14/1.481544+'DCF'!E14/1.688960+'DCF'!F14/1.925415+('DCF'!F14*1.0350/0.105000)/1.925415+'DCF'!B31-'DCF'!B32)/'DCF'!B30/'DCF'!B33</f>
        <v/>
      </c>
      <c r="F13" s="19">
        <f>('DCF'!B14/1.140000+'DCF'!C14/1.299600+'DCF'!D14/1.481544+'DCF'!E14/1.688960+'DCF'!F14/1.925415+('DCF'!F14*1.0400/0.100000)/1.925415+'DCF'!B31-'DCF'!B32)/'DCF'!B30/'DCF'!B33</f>
        <v/>
      </c>
    </row>
    <row r="16">
      <c r="A16" s="30" t="inlineStr">
        <is>
          <t>Table 2: WACC × Exit Multiple (× FY30E EBITDA)</t>
        </is>
      </c>
    </row>
    <row r="17">
      <c r="A17" s="44" t="inlineStr">
        <is>
          <t>WACC ↓ / Exit Mult →</t>
        </is>
      </c>
      <c r="B17" s="46" t="n">
        <v>7</v>
      </c>
      <c r="C17" s="46" t="n">
        <v>8</v>
      </c>
      <c r="D17" s="46" t="n">
        <v>9</v>
      </c>
      <c r="E17" s="46" t="n">
        <v>10</v>
      </c>
      <c r="F17" s="46" t="n">
        <v>11</v>
      </c>
      <c r="G17" s="46" t="n">
        <v>12</v>
      </c>
      <c r="H17" s="46" t="n">
        <v>14</v>
      </c>
    </row>
    <row r="18">
      <c r="A18" s="45" t="n">
        <v>0.09</v>
      </c>
      <c r="B18" s="19">
        <f>('DCF'!B14/1.090000+'DCF'!C14/1.188100+'DCF'!D14/1.295029+'DCF'!E14/1.411582+'DCF'!F14/1.538624+('DCF'!B55*7.0)/1.538624+'DCF'!B31-'DCF'!B32)/'DCF'!B30/'DCF'!B33</f>
        <v/>
      </c>
      <c r="C18" s="19">
        <f>('DCF'!B14/1.090000+'DCF'!C14/1.188100+'DCF'!D14/1.295029+'DCF'!E14/1.411582+'DCF'!F14/1.538624+('DCF'!B55*8.0)/1.538624+'DCF'!B31-'DCF'!B32)/'DCF'!B30/'DCF'!B33</f>
        <v/>
      </c>
      <c r="D18" s="19">
        <f>('DCF'!B14/1.090000+'DCF'!C14/1.188100+'DCF'!D14/1.295029+'DCF'!E14/1.411582+'DCF'!F14/1.538624+('DCF'!B55*9.0)/1.538624+'DCF'!B31-'DCF'!B32)/'DCF'!B30/'DCF'!B33</f>
        <v/>
      </c>
      <c r="E18" s="19">
        <f>('DCF'!B14/1.090000+'DCF'!C14/1.188100+'DCF'!D14/1.295029+'DCF'!E14/1.411582+'DCF'!F14/1.538624+('DCF'!B55*10.0)/1.538624+'DCF'!B31-'DCF'!B32)/'DCF'!B30/'DCF'!B33</f>
        <v/>
      </c>
      <c r="F18" s="19">
        <f>('DCF'!B14/1.090000+'DCF'!C14/1.188100+'DCF'!D14/1.295029+'DCF'!E14/1.411582+'DCF'!F14/1.538624+('DCF'!B55*11.0)/1.538624+'DCF'!B31-'DCF'!B32)/'DCF'!B30/'DCF'!B33</f>
        <v/>
      </c>
      <c r="G18" s="19">
        <f>('DCF'!B14/1.090000+'DCF'!C14/1.188100+'DCF'!D14/1.295029+'DCF'!E14/1.411582+'DCF'!F14/1.538624+('DCF'!B55*12.0)/1.538624+'DCF'!B31-'DCF'!B32)/'DCF'!B30/'DCF'!B33</f>
        <v/>
      </c>
      <c r="H18" s="19">
        <f>('DCF'!B14/1.090000+'DCF'!C14/1.188100+'DCF'!D14/1.295029+'DCF'!E14/1.411582+'DCF'!F14/1.538624+('DCF'!B55*14.0)/1.538624+'DCF'!B31-'DCF'!B32)/'DCF'!B30/'DCF'!B33</f>
        <v/>
      </c>
    </row>
    <row r="19">
      <c r="A19" s="45" t="n">
        <v>0.1</v>
      </c>
      <c r="B19" s="19">
        <f>('DCF'!B14/1.100000+'DCF'!C14/1.210000+'DCF'!D14/1.331000+'DCF'!E14/1.464100+'DCF'!F14/1.610510+('DCF'!B55*7.0)/1.610510+'DCF'!B31-'DCF'!B32)/'DCF'!B30/'DCF'!B33</f>
        <v/>
      </c>
      <c r="C19" s="19">
        <f>('DCF'!B14/1.100000+'DCF'!C14/1.210000+'DCF'!D14/1.331000+'DCF'!E14/1.464100+'DCF'!F14/1.610510+('DCF'!B55*8.0)/1.610510+'DCF'!B31-'DCF'!B32)/'DCF'!B30/'DCF'!B33</f>
        <v/>
      </c>
      <c r="D19" s="19">
        <f>('DCF'!B14/1.100000+'DCF'!C14/1.210000+'DCF'!D14/1.331000+'DCF'!E14/1.464100+'DCF'!F14/1.610510+('DCF'!B55*9.0)/1.610510+'DCF'!B31-'DCF'!B32)/'DCF'!B30/'DCF'!B33</f>
        <v/>
      </c>
      <c r="E19" s="19">
        <f>('DCF'!B14/1.100000+'DCF'!C14/1.210000+'DCF'!D14/1.331000+'DCF'!E14/1.464100+'DCF'!F14/1.610510+('DCF'!B55*10.0)/1.610510+'DCF'!B31-'DCF'!B32)/'DCF'!B30/'DCF'!B33</f>
        <v/>
      </c>
      <c r="F19" s="19">
        <f>('DCF'!B14/1.100000+'DCF'!C14/1.210000+'DCF'!D14/1.331000+'DCF'!E14/1.464100+'DCF'!F14/1.610510+('DCF'!B55*11.0)/1.610510+'DCF'!B31-'DCF'!B32)/'DCF'!B30/'DCF'!B33</f>
        <v/>
      </c>
      <c r="G19" s="19">
        <f>('DCF'!B14/1.100000+'DCF'!C14/1.210000+'DCF'!D14/1.331000+'DCF'!E14/1.464100+'DCF'!F14/1.610510+('DCF'!B55*12.0)/1.610510+'DCF'!B31-'DCF'!B32)/'DCF'!B30/'DCF'!B33</f>
        <v/>
      </c>
      <c r="H19" s="19">
        <f>('DCF'!B14/1.100000+'DCF'!C14/1.210000+'DCF'!D14/1.331000+'DCF'!E14/1.464100+'DCF'!F14/1.610510+('DCF'!B55*14.0)/1.610510+'DCF'!B31-'DCF'!B32)/'DCF'!B30/'DCF'!B33</f>
        <v/>
      </c>
    </row>
    <row r="20">
      <c r="A20" s="45" t="n">
        <v>0.105</v>
      </c>
      <c r="B20" s="19">
        <f>('DCF'!B14/1.105000+'DCF'!C14/1.221025+'DCF'!D14/1.349233+'DCF'!E14/1.490902+'DCF'!F14/1.647447+('DCF'!B55*7.0)/1.647447+'DCF'!B31-'DCF'!B32)/'DCF'!B30/'DCF'!B33</f>
        <v/>
      </c>
      <c r="C20" s="19">
        <f>('DCF'!B14/1.105000+'DCF'!C14/1.221025+'DCF'!D14/1.349233+'DCF'!E14/1.490902+'DCF'!F14/1.647447+('DCF'!B55*8.0)/1.647447+'DCF'!B31-'DCF'!B32)/'DCF'!B30/'DCF'!B33</f>
        <v/>
      </c>
      <c r="D20" s="19">
        <f>('DCF'!B14/1.105000+'DCF'!C14/1.221025+'DCF'!D14/1.349233+'DCF'!E14/1.490902+'DCF'!F14/1.647447+('DCF'!B55*9.0)/1.647447+'DCF'!B31-'DCF'!B32)/'DCF'!B30/'DCF'!B33</f>
        <v/>
      </c>
      <c r="E20" s="19">
        <f>('DCF'!B14/1.105000+'DCF'!C14/1.221025+'DCF'!D14/1.349233+'DCF'!E14/1.490902+'DCF'!F14/1.647447+('DCF'!B55*10.0)/1.647447+'DCF'!B31-'DCF'!B32)/'DCF'!B30/'DCF'!B33</f>
        <v/>
      </c>
      <c r="F20" s="19">
        <f>('DCF'!B14/1.105000+'DCF'!C14/1.221025+'DCF'!D14/1.349233+'DCF'!E14/1.490902+'DCF'!F14/1.647447+('DCF'!B55*11.0)/1.647447+'DCF'!B31-'DCF'!B32)/'DCF'!B30/'DCF'!B33</f>
        <v/>
      </c>
      <c r="G20" s="19">
        <f>('DCF'!B14/1.105000+'DCF'!C14/1.221025+'DCF'!D14/1.349233+'DCF'!E14/1.490902+'DCF'!F14/1.647447+('DCF'!B55*12.0)/1.647447+'DCF'!B31-'DCF'!B32)/'DCF'!B30/'DCF'!B33</f>
        <v/>
      </c>
      <c r="H20" s="19">
        <f>('DCF'!B14/1.105000+'DCF'!C14/1.221025+'DCF'!D14/1.349233+'DCF'!E14/1.490902+'DCF'!F14/1.647447+('DCF'!B55*14.0)/1.647447+'DCF'!B31-'DCF'!B32)/'DCF'!B30/'DCF'!B33</f>
        <v/>
      </c>
    </row>
    <row r="21">
      <c r="A21" s="45" t="n">
        <v>0.11</v>
      </c>
      <c r="B21" s="19">
        <f>('DCF'!B14/1.110000+'DCF'!C14/1.232100+'DCF'!D14/1.367631+'DCF'!E14/1.518070+'DCF'!F14/1.685058+('DCF'!B55*7.0)/1.685058+'DCF'!B31-'DCF'!B32)/'DCF'!B30/'DCF'!B33</f>
        <v/>
      </c>
      <c r="C21" s="19">
        <f>('DCF'!B14/1.110000+'DCF'!C14/1.232100+'DCF'!D14/1.367631+'DCF'!E14/1.518070+'DCF'!F14/1.685058+('DCF'!B55*8.0)/1.685058+'DCF'!B31-'DCF'!B32)/'DCF'!B30/'DCF'!B33</f>
        <v/>
      </c>
      <c r="D21" s="19">
        <f>('DCF'!B14/1.110000+'DCF'!C14/1.232100+'DCF'!D14/1.367631+'DCF'!E14/1.518070+'DCF'!F14/1.685058+('DCF'!B55*9.0)/1.685058+'DCF'!B31-'DCF'!B32)/'DCF'!B30/'DCF'!B33</f>
        <v/>
      </c>
      <c r="E21" s="19">
        <f>('DCF'!B14/1.110000+'DCF'!C14/1.232100+'DCF'!D14/1.367631+'DCF'!E14/1.518070+'DCF'!F14/1.685058+('DCF'!B55*10.0)/1.685058+'DCF'!B31-'DCF'!B32)/'DCF'!B30/'DCF'!B33</f>
        <v/>
      </c>
      <c r="F21" s="19">
        <f>('DCF'!B14/1.110000+'DCF'!C14/1.232100+'DCF'!D14/1.367631+'DCF'!E14/1.518070+'DCF'!F14/1.685058+('DCF'!B55*11.0)/1.685058+'DCF'!B31-'DCF'!B32)/'DCF'!B30/'DCF'!B33</f>
        <v/>
      </c>
      <c r="G21" s="19">
        <f>('DCF'!B14/1.110000+'DCF'!C14/1.232100+'DCF'!D14/1.367631+'DCF'!E14/1.518070+'DCF'!F14/1.685058+('DCF'!B55*12.0)/1.685058+'DCF'!B31-'DCF'!B32)/'DCF'!B30/'DCF'!B33</f>
        <v/>
      </c>
      <c r="H21" s="19">
        <f>('DCF'!B14/1.110000+'DCF'!C14/1.232100+'DCF'!D14/1.367631+'DCF'!E14/1.518070+'DCF'!F14/1.685058+('DCF'!B55*14.0)/1.685058+'DCF'!B31-'DCF'!B32)/'DCF'!B30/'DCF'!B33</f>
        <v/>
      </c>
    </row>
    <row r="22">
      <c r="A22" s="45" t="n">
        <v>0.115</v>
      </c>
      <c r="B22" s="19">
        <f>('DCF'!B14/1.115000+'DCF'!C14/1.243225+'DCF'!D14/1.386196+'DCF'!E14/1.545608+'DCF'!F14/1.723353+('DCF'!B55*7.0)/1.723353+'DCF'!B31-'DCF'!B32)/'DCF'!B30/'DCF'!B33</f>
        <v/>
      </c>
      <c r="C22" s="19">
        <f>('DCF'!B14/1.115000+'DCF'!C14/1.243225+'DCF'!D14/1.386196+'DCF'!E14/1.545608+'DCF'!F14/1.723353+('DCF'!B55*8.0)/1.723353+'DCF'!B31-'DCF'!B32)/'DCF'!B30/'DCF'!B33</f>
        <v/>
      </c>
      <c r="D22" s="19">
        <f>('DCF'!B14/1.115000+'DCF'!C14/1.243225+'DCF'!D14/1.386196+'DCF'!E14/1.545608+'DCF'!F14/1.723353+('DCF'!B55*9.0)/1.723353+'DCF'!B31-'DCF'!B32)/'DCF'!B30/'DCF'!B33</f>
        <v/>
      </c>
      <c r="E22" s="19">
        <f>('DCF'!B14/1.115000+'DCF'!C14/1.243225+'DCF'!D14/1.386196+'DCF'!E14/1.545608+'DCF'!F14/1.723353+('DCF'!B55*10.0)/1.723353+'DCF'!B31-'DCF'!B32)/'DCF'!B30/'DCF'!B33</f>
        <v/>
      </c>
      <c r="F22" s="19">
        <f>('DCF'!B14/1.115000+'DCF'!C14/1.243225+'DCF'!D14/1.386196+'DCF'!E14/1.545608+'DCF'!F14/1.723353+('DCF'!B55*11.0)/1.723353+'DCF'!B31-'DCF'!B32)/'DCF'!B30/'DCF'!B33</f>
        <v/>
      </c>
      <c r="G22" s="19">
        <f>('DCF'!B14/1.115000+'DCF'!C14/1.243225+'DCF'!D14/1.386196+'DCF'!E14/1.545608+'DCF'!F14/1.723353+('DCF'!B55*12.0)/1.723353+'DCF'!B31-'DCF'!B32)/'DCF'!B30/'DCF'!B33</f>
        <v/>
      </c>
      <c r="H22" s="19">
        <f>('DCF'!B14/1.115000+'DCF'!C14/1.243225+'DCF'!D14/1.386196+'DCF'!E14/1.545608+'DCF'!F14/1.723353+('DCF'!B55*14.0)/1.723353+'DCF'!B31-'DCF'!B32)/'DCF'!B30/'DCF'!B33</f>
        <v/>
      </c>
    </row>
    <row r="23">
      <c r="A23" s="45" t="n">
        <v>0.12</v>
      </c>
      <c r="B23" s="19">
        <f>('DCF'!B14/1.120000+'DCF'!C14/1.254400+'DCF'!D14/1.404928+'DCF'!E14/1.573519+'DCF'!F14/1.762342+('DCF'!B55*7.0)/1.762342+'DCF'!B31-'DCF'!B32)/'DCF'!B30/'DCF'!B33</f>
        <v/>
      </c>
      <c r="C23" s="19">
        <f>('DCF'!B14/1.120000+'DCF'!C14/1.254400+'DCF'!D14/1.404928+'DCF'!E14/1.573519+'DCF'!F14/1.762342+('DCF'!B55*8.0)/1.762342+'DCF'!B31-'DCF'!B32)/'DCF'!B30/'DCF'!B33</f>
        <v/>
      </c>
      <c r="D23" s="19">
        <f>('DCF'!B14/1.120000+'DCF'!C14/1.254400+'DCF'!D14/1.404928+'DCF'!E14/1.573519+'DCF'!F14/1.762342+('DCF'!B55*9.0)/1.762342+'DCF'!B31-'DCF'!B32)/'DCF'!B30/'DCF'!B33</f>
        <v/>
      </c>
      <c r="E23" s="19">
        <f>('DCF'!B14/1.120000+'DCF'!C14/1.254400+'DCF'!D14/1.404928+'DCF'!E14/1.573519+'DCF'!F14/1.762342+('DCF'!B55*10.0)/1.762342+'DCF'!B31-'DCF'!B32)/'DCF'!B30/'DCF'!B33</f>
        <v/>
      </c>
      <c r="F23" s="19">
        <f>('DCF'!B14/1.120000+'DCF'!C14/1.254400+'DCF'!D14/1.404928+'DCF'!E14/1.573519+'DCF'!F14/1.762342+('DCF'!B55*11.0)/1.762342+'DCF'!B31-'DCF'!B32)/'DCF'!B30/'DCF'!B33</f>
        <v/>
      </c>
      <c r="G23" s="19">
        <f>('DCF'!B14/1.120000+'DCF'!C14/1.254400+'DCF'!D14/1.404928+'DCF'!E14/1.573519+'DCF'!F14/1.762342+('DCF'!B55*12.0)/1.762342+'DCF'!B31-'DCF'!B32)/'DCF'!B30/'DCF'!B33</f>
        <v/>
      </c>
      <c r="H23" s="19">
        <f>('DCF'!B14/1.120000+'DCF'!C14/1.254400+'DCF'!D14/1.404928+'DCF'!E14/1.573519+'DCF'!F14/1.762342+('DCF'!B55*14.0)/1.762342+'DCF'!B31-'DCF'!B32)/'DCF'!B30/'DCF'!B33</f>
        <v/>
      </c>
    </row>
    <row r="24">
      <c r="A24" s="45" t="n">
        <v>0.13</v>
      </c>
      <c r="B24" s="19">
        <f>('DCF'!B14/1.130000+'DCF'!C14/1.276900+'DCF'!D14/1.442897+'DCF'!E14/1.630474+'DCF'!F14/1.842435+('DCF'!B55*7.0)/1.842435+'DCF'!B31-'DCF'!B32)/'DCF'!B30/'DCF'!B33</f>
        <v/>
      </c>
      <c r="C24" s="19">
        <f>('DCF'!B14/1.130000+'DCF'!C14/1.276900+'DCF'!D14/1.442897+'DCF'!E14/1.630474+'DCF'!F14/1.842435+('DCF'!B55*8.0)/1.842435+'DCF'!B31-'DCF'!B32)/'DCF'!B30/'DCF'!B33</f>
        <v/>
      </c>
      <c r="D24" s="19">
        <f>('DCF'!B14/1.130000+'DCF'!C14/1.276900+'DCF'!D14/1.442897+'DCF'!E14/1.630474+'DCF'!F14/1.842435+('DCF'!B55*9.0)/1.842435+'DCF'!B31-'DCF'!B32)/'DCF'!B30/'DCF'!B33</f>
        <v/>
      </c>
      <c r="E24" s="19">
        <f>('DCF'!B14/1.130000+'DCF'!C14/1.276900+'DCF'!D14/1.442897+'DCF'!E14/1.630474+'DCF'!F14/1.842435+('DCF'!B55*10.0)/1.842435+'DCF'!B31-'DCF'!B32)/'DCF'!B30/'DCF'!B33</f>
        <v/>
      </c>
      <c r="F24" s="19">
        <f>('DCF'!B14/1.130000+'DCF'!C14/1.276900+'DCF'!D14/1.442897+'DCF'!E14/1.630474+'DCF'!F14/1.842435+('DCF'!B55*11.0)/1.842435+'DCF'!B31-'DCF'!B32)/'DCF'!B30/'DCF'!B33</f>
        <v/>
      </c>
      <c r="G24" s="19">
        <f>('DCF'!B14/1.130000+'DCF'!C14/1.276900+'DCF'!D14/1.442897+'DCF'!E14/1.630474+'DCF'!F14/1.842435+('DCF'!B55*12.0)/1.842435+'DCF'!B31-'DCF'!B32)/'DCF'!B30/'DCF'!B33</f>
        <v/>
      </c>
      <c r="H24" s="19">
        <f>('DCF'!B14/1.130000+'DCF'!C14/1.276900+'DCF'!D14/1.442897+'DCF'!E14/1.630474+'DCF'!F14/1.842435+('DCF'!B55*14.0)/1.842435+'DCF'!B31-'DCF'!B32)/'DCF'!B30/'DCF'!B33</f>
        <v/>
      </c>
    </row>
    <row r="25">
      <c r="A25" s="45" t="n">
        <v>0.14</v>
      </c>
      <c r="B25" s="19">
        <f>('DCF'!B14/1.140000+'DCF'!C14/1.299600+'DCF'!D14/1.481544+'DCF'!E14/1.688960+'DCF'!F14/1.925415+('DCF'!B55*7.0)/1.925415+'DCF'!B31-'DCF'!B32)/'DCF'!B30/'DCF'!B33</f>
        <v/>
      </c>
      <c r="C25" s="19">
        <f>('DCF'!B14/1.140000+'DCF'!C14/1.299600+'DCF'!D14/1.481544+'DCF'!E14/1.688960+'DCF'!F14/1.925415+('DCF'!B55*8.0)/1.925415+'DCF'!B31-'DCF'!B32)/'DCF'!B30/'DCF'!B33</f>
        <v/>
      </c>
      <c r="D25" s="19">
        <f>('DCF'!B14/1.140000+'DCF'!C14/1.299600+'DCF'!D14/1.481544+'DCF'!E14/1.688960+'DCF'!F14/1.925415+('DCF'!B55*9.0)/1.925415+'DCF'!B31-'DCF'!B32)/'DCF'!B30/'DCF'!B33</f>
        <v/>
      </c>
      <c r="E25" s="19">
        <f>('DCF'!B14/1.140000+'DCF'!C14/1.299600+'DCF'!D14/1.481544+'DCF'!E14/1.688960+'DCF'!F14/1.925415+('DCF'!B55*10.0)/1.925415+'DCF'!B31-'DCF'!B32)/'DCF'!B30/'DCF'!B33</f>
        <v/>
      </c>
      <c r="F25" s="19">
        <f>('DCF'!B14/1.140000+'DCF'!C14/1.299600+'DCF'!D14/1.481544+'DCF'!E14/1.688960+'DCF'!F14/1.925415+('DCF'!B55*11.0)/1.925415+'DCF'!B31-'DCF'!B32)/'DCF'!B30/'DCF'!B33</f>
        <v/>
      </c>
      <c r="G25" s="19">
        <f>('DCF'!B14/1.140000+'DCF'!C14/1.299600+'DCF'!D14/1.481544+'DCF'!E14/1.688960+'DCF'!F14/1.925415+('DCF'!B55*12.0)/1.925415+'DCF'!B31-'DCF'!B32)/'DCF'!B30/'DCF'!B33</f>
        <v/>
      </c>
      <c r="H25" s="19">
        <f>('DCF'!B14/1.140000+'DCF'!C14/1.299600+'DCF'!D14/1.481544+'DCF'!E14/1.688960+'DCF'!F14/1.925415+('DCF'!B55*14.0)/1.925415+'DCF'!B31-'DCF'!B32)/'DCF'!B30/'DCF'!B33</f>
        <v/>
      </c>
    </row>
    <row r="28">
      <c r="A28" s="30" t="inlineStr">
        <is>
          <t>Table 3: FY25–FY29 Revenue CAGR × FY29E EBITDA Margin</t>
        </is>
      </c>
    </row>
    <row r="29">
      <c r="A29" s="28" t="inlineStr">
        <is>
          <t>Rev CAGR ↓ / EBITDA% →</t>
        </is>
      </c>
      <c r="B29" s="45" t="n">
        <v>0.1</v>
      </c>
      <c r="C29" s="45" t="n">
        <v>0.13</v>
      </c>
      <c r="D29" s="45" t="n">
        <v>0.15</v>
      </c>
      <c r="E29" s="45" t="n">
        <v>0.18</v>
      </c>
      <c r="F29" s="45" t="n">
        <v>0.22</v>
      </c>
    </row>
    <row r="30">
      <c r="A30" s="45" t="n">
        <v>0.2</v>
      </c>
      <c r="B30" s="19">
        <f>(((((3027573*(1+0.2)^4)*0.1)*14)/1.545608)+'DCF'!B31-'DCF'!B32)/'DCF'!B30/'DCF'!B33</f>
        <v/>
      </c>
      <c r="C30" s="19">
        <f>(((((3027573*(1+0.2)^4)*0.13)*14)/1.545608)+'DCF'!B31-'DCF'!B32)/'DCF'!B30/'DCF'!B33</f>
        <v/>
      </c>
      <c r="D30" s="19">
        <f>(((((3027573*(1+0.2)^4)*0.15)*14)/1.545608)+'DCF'!B31-'DCF'!B32)/'DCF'!B30/'DCF'!B33</f>
        <v/>
      </c>
      <c r="E30" s="19">
        <f>(((((3027573*(1+0.2)^4)*0.18)*14)/1.545608)+'DCF'!B31-'DCF'!B32)/'DCF'!B30/'DCF'!B33</f>
        <v/>
      </c>
      <c r="F30" s="19">
        <f>(((((3027573*(1+0.2)^4)*0.22)*14)/1.545608)+'DCF'!B31-'DCF'!B32)/'DCF'!B30/'DCF'!B33</f>
        <v/>
      </c>
    </row>
    <row r="31">
      <c r="A31" s="45" t="n">
        <v>0.25</v>
      </c>
      <c r="B31" s="19">
        <f>(((((3027573*(1+0.25)^4)*0.1)*14)/1.545608)+'DCF'!B31-'DCF'!B32)/'DCF'!B30/'DCF'!B33</f>
        <v/>
      </c>
      <c r="C31" s="19">
        <f>(((((3027573*(1+0.25)^4)*0.13)*14)/1.545608)+'DCF'!B31-'DCF'!B32)/'DCF'!B30/'DCF'!B33</f>
        <v/>
      </c>
      <c r="D31" s="19">
        <f>(((((3027573*(1+0.25)^4)*0.15)*14)/1.545608)+'DCF'!B31-'DCF'!B32)/'DCF'!B30/'DCF'!B33</f>
        <v/>
      </c>
      <c r="E31" s="19">
        <f>(((((3027573*(1+0.25)^4)*0.18)*14)/1.545608)+'DCF'!B31-'DCF'!B32)/'DCF'!B30/'DCF'!B33</f>
        <v/>
      </c>
      <c r="F31" s="19">
        <f>(((((3027573*(1+0.25)^4)*0.22)*14)/1.545608)+'DCF'!B31-'DCF'!B32)/'DCF'!B30/'DCF'!B33</f>
        <v/>
      </c>
    </row>
    <row r="32">
      <c r="A32" s="45" t="n">
        <v>0.3</v>
      </c>
      <c r="B32" s="19">
        <f>(((((3027573*(1+0.3)^4)*0.1)*14)/1.545608)+'DCF'!B31-'DCF'!B32)/'DCF'!B30/'DCF'!B33</f>
        <v/>
      </c>
      <c r="C32" s="19">
        <f>(((((3027573*(1+0.3)^4)*0.13)*14)/1.545608)+'DCF'!B31-'DCF'!B32)/'DCF'!B30/'DCF'!B33</f>
        <v/>
      </c>
      <c r="D32" s="19">
        <f>(((((3027573*(1+0.3)^4)*0.15)*14)/1.545608)+'DCF'!B31-'DCF'!B32)/'DCF'!B30/'DCF'!B33</f>
        <v/>
      </c>
      <c r="E32" s="19">
        <f>(((((3027573*(1+0.3)^4)*0.18)*14)/1.545608)+'DCF'!B31-'DCF'!B32)/'DCF'!B30/'DCF'!B33</f>
        <v/>
      </c>
      <c r="F32" s="19">
        <f>(((((3027573*(1+0.3)^4)*0.22)*14)/1.545608)+'DCF'!B31-'DCF'!B32)/'DCF'!B30/'DCF'!B33</f>
        <v/>
      </c>
    </row>
    <row r="33">
      <c r="A33" s="45" t="n">
        <v>0.35</v>
      </c>
      <c r="B33" s="19">
        <f>(((((3027573*(1+0.35)^4)*0.1)*14)/1.545608)+'DCF'!B31-'DCF'!B32)/'DCF'!B30/'DCF'!B33</f>
        <v/>
      </c>
      <c r="C33" s="19">
        <f>(((((3027573*(1+0.35)^4)*0.13)*14)/1.545608)+'DCF'!B31-'DCF'!B32)/'DCF'!B30/'DCF'!B33</f>
        <v/>
      </c>
      <c r="D33" s="19">
        <f>(((((3027573*(1+0.35)^4)*0.15)*14)/1.545608)+'DCF'!B31-'DCF'!B32)/'DCF'!B30/'DCF'!B33</f>
        <v/>
      </c>
      <c r="E33" s="19">
        <f>(((((3027573*(1+0.35)^4)*0.18)*14)/1.545608)+'DCF'!B31-'DCF'!B32)/'DCF'!B30/'DCF'!B33</f>
        <v/>
      </c>
      <c r="F33" s="19">
        <f>(((((3027573*(1+0.35)^4)*0.22)*14)/1.545608)+'DCF'!B31-'DCF'!B32)/'DCF'!B30/'DCF'!B33</f>
        <v/>
      </c>
    </row>
    <row r="34">
      <c r="A34" s="45" t="n">
        <v>0.4</v>
      </c>
      <c r="B34" s="19">
        <f>(((((3027573*(1+0.4)^4)*0.1)*14)/1.545608)+'DCF'!B31-'DCF'!B32)/'DCF'!B30/'DCF'!B33</f>
        <v/>
      </c>
      <c r="C34" s="19">
        <f>(((((3027573*(1+0.4)^4)*0.13)*14)/1.545608)+'DCF'!B31-'DCF'!B32)/'DCF'!B30/'DCF'!B33</f>
        <v/>
      </c>
      <c r="D34" s="19">
        <f>(((((3027573*(1+0.4)^4)*0.15)*14)/1.545608)+'DCF'!B31-'DCF'!B32)/'DCF'!B30/'DCF'!B33</f>
        <v/>
      </c>
      <c r="E34" s="19">
        <f>(((((3027573*(1+0.4)^4)*0.18)*14)/1.545608)+'DCF'!B31-'DCF'!B32)/'DCF'!B30/'DCF'!B33</f>
        <v/>
      </c>
      <c r="F34" s="19">
        <f>(((((3027573*(1+0.4)^4)*0.22)*14)/1.545608)+'DCF'!B31-'DCF'!B32)/'DCF'!B30/'DCF'!B33</f>
        <v/>
      </c>
    </row>
  </sheetData>
  <conditionalFormatting sqref="B6:F1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8:H2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0:F3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8" customWidth="1" min="2" max="2"/>
    <col width="11" customWidth="1" min="3" max="3"/>
    <col width="11" customWidth="1" min="4" max="4"/>
    <col width="12" customWidth="1" min="5" max="5"/>
    <col width="12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HESAI GROUP — COMPARABLE COMPANIES ANALYSIS</t>
        </is>
      </c>
    </row>
    <row r="2">
      <c r="A2" s="3" t="inlineStr">
        <is>
          <t>Market data as of 2026-05-15 close. LTM = trailing 12-month; NTM = consensus FY26.</t>
        </is>
      </c>
    </row>
    <row r="4">
      <c r="A4" s="30" t="inlineStr">
        <is>
          <t>Lidar &amp; Auto-Perception Peers</t>
        </is>
      </c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  <c r="L4" s="31" t="n"/>
      <c r="M4" s="31" t="n"/>
      <c r="N4" s="31" t="n"/>
    </row>
    <row r="5">
      <c r="A5" s="29" t="inlineStr">
        <is>
          <t>Company</t>
        </is>
      </c>
      <c r="B5" s="29" t="inlineStr">
        <is>
          <t>Ticker</t>
        </is>
      </c>
      <c r="C5" s="29" t="inlineStr">
        <is>
          <t>Mkt Cap ($M)</t>
        </is>
      </c>
      <c r="D5" s="29" t="inlineStr">
        <is>
          <t>EV ($M)</t>
        </is>
      </c>
      <c r="E5" s="29" t="inlineStr">
        <is>
          <t>LTM Rev ($M)</t>
        </is>
      </c>
      <c r="F5" s="29" t="inlineStr">
        <is>
          <t>NTM Rev ($M)</t>
        </is>
      </c>
      <c r="G5" s="29" t="inlineStr">
        <is>
          <t>EV/Rev LTM</t>
        </is>
      </c>
      <c r="H5" s="29" t="inlineStr">
        <is>
          <t>EV/Rev NTM</t>
        </is>
      </c>
      <c r="I5" s="29" t="inlineStr">
        <is>
          <t>LTM EBITDA ($M)</t>
        </is>
      </c>
      <c r="J5" s="29" t="inlineStr">
        <is>
          <t>EV/EBITDA NTM</t>
        </is>
      </c>
      <c r="K5" s="29" t="inlineStr">
        <is>
          <t>NTM EPS ($)</t>
        </is>
      </c>
      <c r="L5" s="29" t="inlineStr">
        <is>
          <t>P/E NTM</t>
        </is>
      </c>
      <c r="M5" s="29" t="inlineStr">
        <is>
          <t>Rev growth NTM</t>
        </is>
      </c>
      <c r="N5" s="29" t="inlineStr">
        <is>
          <t>EBITDA mgn NTM</t>
        </is>
      </c>
    </row>
    <row r="6">
      <c r="A6" s="22" t="inlineStr">
        <is>
          <t>Robosense</t>
        </is>
      </c>
      <c r="B6" s="22" t="inlineStr">
        <is>
          <t>2498.HK</t>
        </is>
      </c>
      <c r="C6" s="47" t="n">
        <v>2010</v>
      </c>
      <c r="D6" s="47" t="n">
        <v>1530</v>
      </c>
      <c r="E6" s="47" t="n">
        <v>290</v>
      </c>
      <c r="F6" s="47" t="n">
        <v>450</v>
      </c>
      <c r="G6" s="48" t="n">
        <v>5.275862068965517</v>
      </c>
      <c r="H6" s="48" t="n">
        <v>3.4</v>
      </c>
      <c r="I6" s="47" t="n">
        <v>-55</v>
      </c>
      <c r="J6" s="49" t="inlineStr">
        <is>
          <t>n/m</t>
        </is>
      </c>
      <c r="K6" s="50" t="n">
        <v>-0.18</v>
      </c>
      <c r="L6" s="49" t="inlineStr">
        <is>
          <t>n/m</t>
        </is>
      </c>
      <c r="M6" s="51" t="n">
        <v>0.55</v>
      </c>
      <c r="N6" s="51" t="n">
        <v>-0.05</v>
      </c>
    </row>
    <row r="7">
      <c r="A7" s="22" t="inlineStr">
        <is>
          <t>Ouster</t>
        </is>
      </c>
      <c r="B7" s="22" t="inlineStr">
        <is>
          <t>OUST</t>
        </is>
      </c>
      <c r="C7" s="47" t="n">
        <v>720</v>
      </c>
      <c r="D7" s="47" t="n">
        <v>430</v>
      </c>
      <c r="E7" s="47" t="n">
        <v>185</v>
      </c>
      <c r="F7" s="47" t="n">
        <v>240</v>
      </c>
      <c r="G7" s="48" t="n">
        <v>2.324324324324324</v>
      </c>
      <c r="H7" s="48" t="n">
        <v>1.791666666666667</v>
      </c>
      <c r="I7" s="47" t="n">
        <v>-45</v>
      </c>
      <c r="J7" s="49" t="inlineStr">
        <is>
          <t>n/m</t>
        </is>
      </c>
      <c r="K7" s="50" t="n">
        <v>-0.4</v>
      </c>
      <c r="L7" s="49" t="inlineStr">
        <is>
          <t>n/m</t>
        </is>
      </c>
      <c r="M7" s="51" t="n">
        <v>0.3</v>
      </c>
      <c r="N7" s="51" t="n">
        <v>-0.1</v>
      </c>
    </row>
    <row r="8">
      <c r="A8" s="22" t="inlineStr">
        <is>
          <t>Innoviz</t>
        </is>
      </c>
      <c r="B8" s="22" t="inlineStr">
        <is>
          <t>INVZ</t>
        </is>
      </c>
      <c r="C8" s="47" t="n">
        <v>135</v>
      </c>
      <c r="D8" s="47" t="n">
        <v>85</v>
      </c>
      <c r="E8" s="47" t="n">
        <v>55</v>
      </c>
      <c r="F8" s="47" t="n">
        <v>95</v>
      </c>
      <c r="G8" s="48" t="n">
        <v>1.545454545454545</v>
      </c>
      <c r="H8" s="48" t="n">
        <v>0.8947368421052632</v>
      </c>
      <c r="I8" s="47" t="n">
        <v>-75</v>
      </c>
      <c r="J8" s="49" t="inlineStr">
        <is>
          <t>n/m</t>
        </is>
      </c>
      <c r="K8" s="50" t="n">
        <v>-0.85</v>
      </c>
      <c r="L8" s="49" t="inlineStr">
        <is>
          <t>n/m</t>
        </is>
      </c>
      <c r="M8" s="51" t="n">
        <v>0.73</v>
      </c>
      <c r="N8" s="51" t="n">
        <v>-0.65</v>
      </c>
    </row>
    <row r="9">
      <c r="A9" s="22" t="inlineStr">
        <is>
          <t>Aeva Tech.</t>
        </is>
      </c>
      <c r="B9" s="22" t="inlineStr">
        <is>
          <t>AEVA</t>
        </is>
      </c>
      <c r="C9" s="47" t="n">
        <v>1430</v>
      </c>
      <c r="D9" s="47" t="n">
        <v>1280</v>
      </c>
      <c r="E9" s="47" t="n">
        <v>25</v>
      </c>
      <c r="F9" s="47" t="n">
        <v>65</v>
      </c>
      <c r="G9" s="48" t="n">
        <v>51.2</v>
      </c>
      <c r="H9" s="48" t="n">
        <v>19.69230769230769</v>
      </c>
      <c r="I9" s="47" t="n">
        <v>-120</v>
      </c>
      <c r="J9" s="49" t="inlineStr">
        <is>
          <t>n/m</t>
        </is>
      </c>
      <c r="K9" s="50" t="n">
        <v>-1.35</v>
      </c>
      <c r="L9" s="49" t="inlineStr">
        <is>
          <t>n/m</t>
        </is>
      </c>
      <c r="M9" s="51" t="n">
        <v>1.6</v>
      </c>
      <c r="N9" s="51" t="n">
        <v>-1.2</v>
      </c>
    </row>
    <row r="10">
      <c r="A10" s="22" t="inlineStr">
        <is>
          <t>Luminar Tech.</t>
        </is>
      </c>
      <c r="B10" s="22" t="inlineStr">
        <is>
          <t>LAZR</t>
        </is>
      </c>
      <c r="C10" s="47" t="n">
        <v>280</v>
      </c>
      <c r="D10" s="47" t="n">
        <v>480</v>
      </c>
      <c r="E10" s="47" t="n">
        <v>75</v>
      </c>
      <c r="F10" s="47" t="n">
        <v>95</v>
      </c>
      <c r="G10" s="48" t="n">
        <v>6.4</v>
      </c>
      <c r="H10" s="48" t="n">
        <v>5.052631578947368</v>
      </c>
      <c r="I10" s="47" t="n">
        <v>-180</v>
      </c>
      <c r="J10" s="49" t="inlineStr">
        <is>
          <t>n/m</t>
        </is>
      </c>
      <c r="K10" s="50" t="n">
        <v>-0.6</v>
      </c>
      <c r="L10" s="49" t="inlineStr">
        <is>
          <t>n/m</t>
        </is>
      </c>
      <c r="M10" s="51" t="n">
        <v>0.27</v>
      </c>
      <c r="N10" s="51" t="n">
        <v>-0.85</v>
      </c>
    </row>
    <row r="11">
      <c r="A11" s="22" t="inlineStr">
        <is>
          <t>Mobileye</t>
        </is>
      </c>
      <c r="B11" s="22" t="inlineStr">
        <is>
          <t>MBLY</t>
        </is>
      </c>
      <c r="C11" s="47" t="n">
        <v>12800</v>
      </c>
      <c r="D11" s="47" t="n">
        <v>11900</v>
      </c>
      <c r="E11" s="47" t="n">
        <v>1760</v>
      </c>
      <c r="F11" s="47" t="n">
        <v>2050</v>
      </c>
      <c r="G11" s="48" t="n">
        <v>6.761363636363637</v>
      </c>
      <c r="H11" s="48" t="n">
        <v>5.804878048780488</v>
      </c>
      <c r="I11" s="47" t="n">
        <v>220</v>
      </c>
      <c r="J11" s="48" t="n">
        <v>29.02439024390244</v>
      </c>
      <c r="K11" s="50" t="n">
        <v>0.42</v>
      </c>
      <c r="L11" s="48" t="n">
        <v>25</v>
      </c>
      <c r="M11" s="51" t="n">
        <v>0.16</v>
      </c>
      <c r="N11" s="51" t="n">
        <v>0.2</v>
      </c>
    </row>
    <row r="12">
      <c r="A12" s="22" t="inlineStr">
        <is>
          <t>Aptiv</t>
        </is>
      </c>
      <c r="B12" s="22" t="inlineStr">
        <is>
          <t>APTV</t>
        </is>
      </c>
      <c r="C12" s="47" t="n">
        <v>16500</v>
      </c>
      <c r="D12" s="47" t="n">
        <v>22000</v>
      </c>
      <c r="E12" s="47" t="n">
        <v>21000</v>
      </c>
      <c r="F12" s="47" t="n">
        <v>22500</v>
      </c>
      <c r="G12" s="48" t="n">
        <v>1.047619047619048</v>
      </c>
      <c r="H12" s="48" t="n">
        <v>0.9777777777777777</v>
      </c>
      <c r="I12" s="47" t="n">
        <v>3100</v>
      </c>
      <c r="J12" s="48" t="n">
        <v>6.111111111111111</v>
      </c>
      <c r="K12" s="50" t="n">
        <v>6.5</v>
      </c>
      <c r="L12" s="48" t="n">
        <v>13.5</v>
      </c>
      <c r="M12" s="51" t="n">
        <v>0.07000000000000001</v>
      </c>
      <c r="N12" s="51" t="n">
        <v>0.16</v>
      </c>
    </row>
    <row r="13">
      <c r="A13" s="22" t="inlineStr">
        <is>
          <t>indie Semiconductor</t>
        </is>
      </c>
      <c r="B13" s="22" t="inlineStr">
        <is>
          <t>INDI</t>
        </is>
      </c>
      <c r="C13" s="47" t="n">
        <v>320</v>
      </c>
      <c r="D13" s="47" t="n">
        <v>400</v>
      </c>
      <c r="E13" s="47" t="n">
        <v>220</v>
      </c>
      <c r="F13" s="47" t="n">
        <v>310</v>
      </c>
      <c r="G13" s="48" t="n">
        <v>1.818181818181818</v>
      </c>
      <c r="H13" s="48" t="n">
        <v>1.290322580645161</v>
      </c>
      <c r="I13" s="47" t="n">
        <v>-110</v>
      </c>
      <c r="J13" s="49" t="inlineStr">
        <is>
          <t>n/m</t>
        </is>
      </c>
      <c r="K13" s="50" t="n">
        <v>-0.55</v>
      </c>
      <c r="L13" s="49" t="n"/>
      <c r="M13" s="51" t="n">
        <v>0.41</v>
      </c>
      <c r="N13" s="51" t="n">
        <v>-0.18</v>
      </c>
    </row>
    <row r="14">
      <c r="A14" s="22" t="inlineStr">
        <is>
          <t>ON Semiconductor</t>
        </is>
      </c>
      <c r="B14" s="22" t="inlineStr">
        <is>
          <t>ON</t>
        </is>
      </c>
      <c r="C14" s="47" t="n">
        <v>24300</v>
      </c>
      <c r="D14" s="47" t="n">
        <v>26500</v>
      </c>
      <c r="E14" s="47" t="n">
        <v>6850</v>
      </c>
      <c r="F14" s="47" t="n">
        <v>7200</v>
      </c>
      <c r="G14" s="48" t="n">
        <v>3.868613138686131</v>
      </c>
      <c r="H14" s="48" t="n">
        <v>3.680555555555555</v>
      </c>
      <c r="I14" s="47" t="n">
        <v>2230</v>
      </c>
      <c r="J14" s="48" t="n">
        <v>11.50173611111111</v>
      </c>
      <c r="K14" s="50" t="n">
        <v>3.2</v>
      </c>
      <c r="L14" s="48" t="n">
        <v>18.5</v>
      </c>
      <c r="M14" s="51" t="n">
        <v>0.05</v>
      </c>
      <c r="N14" s="51" t="n">
        <v>0.32</v>
      </c>
    </row>
    <row r="15">
      <c r="A15" s="52" t="inlineStr">
        <is>
          <t>--- Hesai (subject company) ---</t>
        </is>
      </c>
      <c r="B15" s="53" t="n"/>
      <c r="C15" s="53" t="n"/>
      <c r="D15" s="53" t="n"/>
      <c r="E15" s="53" t="n"/>
      <c r="F15" s="53" t="n"/>
      <c r="G15" s="53" t="n"/>
      <c r="H15" s="53" t="n"/>
      <c r="I15" s="53" t="n"/>
      <c r="J15" s="53" t="n"/>
      <c r="K15" s="53" t="n"/>
      <c r="L15" s="53" t="n"/>
      <c r="M15" s="53" t="n"/>
      <c r="N15" s="53" t="n"/>
    </row>
    <row r="16">
      <c r="A16" s="54" t="inlineStr">
        <is>
          <t>Hesai Group</t>
        </is>
      </c>
      <c r="B16" s="54" t="inlineStr">
        <is>
          <t>HSAI</t>
        </is>
      </c>
      <c r="C16" s="14" t="n">
        <v>3528</v>
      </c>
      <c r="D16" s="14" t="n">
        <v>2595</v>
      </c>
      <c r="E16" s="14" t="n">
        <v>432.9</v>
      </c>
      <c r="F16" s="14" t="n">
        <v>648.9041095890411</v>
      </c>
      <c r="G16" s="55" t="n">
        <v>5.994455994455995</v>
      </c>
      <c r="H16" s="55" t="n">
        <v>3.999050031665611</v>
      </c>
      <c r="I16" s="14" t="n">
        <v>47.08945205479452</v>
      </c>
      <c r="J16" s="55" t="n">
        <v>33.89025450564078</v>
      </c>
      <c r="K16" s="56" t="n">
        <v>0.3661423981058684</v>
      </c>
      <c r="L16" s="55" t="n">
        <v>61.28763048498846</v>
      </c>
      <c r="M16" s="38" t="n">
        <v>0.5</v>
      </c>
      <c r="N16" s="38" t="n">
        <v>0.118</v>
      </c>
    </row>
    <row r="18">
      <c r="A18" s="30" t="inlineStr">
        <is>
          <t>STATISTICAL SUMMARY — Lidar Pure-plays</t>
        </is>
      </c>
      <c r="B18" s="31" t="n"/>
      <c r="C18" s="31" t="n"/>
      <c r="D18" s="31" t="n"/>
      <c r="E18" s="31" t="n"/>
      <c r="F18" s="31" t="n"/>
      <c r="G18" s="31" t="n"/>
      <c r="H18" s="31" t="n"/>
      <c r="I18" s="31" t="n"/>
      <c r="J18" s="31" t="n"/>
      <c r="K18" s="31" t="n"/>
      <c r="L18" s="31" t="n"/>
      <c r="M18" s="31" t="n"/>
      <c r="N18" s="31" t="n"/>
    </row>
    <row r="19">
      <c r="A19" s="4" t="inlineStr">
        <is>
          <t>Maximum</t>
        </is>
      </c>
      <c r="G19" s="57">
        <f>MAX(G6:G10)</f>
        <v/>
      </c>
      <c r="H19" s="57">
        <f>MAX(H6:H10)</f>
        <v/>
      </c>
      <c r="M19" s="18">
        <f>MAX(M6:M10)</f>
        <v/>
      </c>
      <c r="N19" s="18">
        <f>MAX(N6:N10)</f>
        <v/>
      </c>
    </row>
    <row r="20">
      <c r="A20" s="4" t="inlineStr">
        <is>
          <t>75th Percentile</t>
        </is>
      </c>
      <c r="G20" s="57">
        <f>PERCENTILE(G6:G10,0.75)</f>
        <v/>
      </c>
      <c r="H20" s="57">
        <f>PERCENTILE(H6:H10,0.75)</f>
        <v/>
      </c>
      <c r="M20" s="18">
        <f>PERCENTILE(M6:M10,0.75)</f>
        <v/>
      </c>
      <c r="N20" s="18">
        <f>PERCENTILE(N6:N10,0.75)</f>
        <v/>
      </c>
    </row>
    <row r="21">
      <c r="A21" s="4" t="inlineStr">
        <is>
          <t>Median</t>
        </is>
      </c>
      <c r="G21" s="57">
        <f>MEDIAN(G6:G10)</f>
        <v/>
      </c>
      <c r="H21" s="57">
        <f>MEDIAN(H6:H10)</f>
        <v/>
      </c>
      <c r="M21" s="18">
        <f>MEDIAN(M6:M10)</f>
        <v/>
      </c>
      <c r="N21" s="18">
        <f>MEDIAN(N6:N10)</f>
        <v/>
      </c>
    </row>
    <row r="22">
      <c r="A22" s="4" t="inlineStr">
        <is>
          <t>25th Percentile</t>
        </is>
      </c>
      <c r="G22" s="57">
        <f>PERCENTILE(G6:G10,0.25)</f>
        <v/>
      </c>
      <c r="H22" s="57">
        <f>PERCENTILE(H6:H10,0.25)</f>
        <v/>
      </c>
      <c r="M22" s="18">
        <f>PERCENTILE(M6:M10,0.25)</f>
        <v/>
      </c>
      <c r="N22" s="18">
        <f>PERCENTILE(N6:N10,0.25)</f>
        <v/>
      </c>
    </row>
    <row r="23">
      <c r="A23" s="4" t="inlineStr">
        <is>
          <t>Minimum</t>
        </is>
      </c>
      <c r="G23" s="57">
        <f>MIN(G6:G10)</f>
        <v/>
      </c>
      <c r="H23" s="57">
        <f>MIN(H6:H10)</f>
        <v/>
      </c>
      <c r="M23" s="18">
        <f>MIN(M6:M10)</f>
        <v/>
      </c>
      <c r="N23" s="18">
        <f>MIN(N6:N10)</f>
        <v/>
      </c>
    </row>
    <row r="25">
      <c r="A25" s="30" t="inlineStr">
        <is>
          <t>STATISTICAL SUMMARY — Adjacent Auto-Tech (MBLY, APTV, INDI, ON)</t>
        </is>
      </c>
      <c r="B25" s="31" t="n"/>
      <c r="C25" s="31" t="n"/>
      <c r="D25" s="31" t="n"/>
      <c r="E25" s="31" t="n"/>
      <c r="F25" s="31" t="n"/>
      <c r="G25" s="31" t="n"/>
      <c r="H25" s="31" t="n"/>
      <c r="I25" s="31" t="n"/>
      <c r="J25" s="31" t="n"/>
      <c r="K25" s="31" t="n"/>
      <c r="L25" s="31" t="n"/>
      <c r="M25" s="31" t="n"/>
      <c r="N25" s="31" t="n"/>
    </row>
    <row r="26">
      <c r="A26" s="4" t="inlineStr">
        <is>
          <t>Maximum</t>
        </is>
      </c>
      <c r="G26" s="57">
        <f>MAX(G11:G14)</f>
        <v/>
      </c>
      <c r="H26" s="57">
        <f>MAX(H11:H14)</f>
        <v/>
      </c>
      <c r="M26" s="18">
        <f>MAX(M11:M14)</f>
        <v/>
      </c>
      <c r="N26" s="18">
        <f>MAX(N11:N14)</f>
        <v/>
      </c>
    </row>
    <row r="27">
      <c r="A27" s="4" t="inlineStr">
        <is>
          <t>75th Percentile</t>
        </is>
      </c>
      <c r="G27" s="57">
        <f>PERCENTILE(G11:G14,0.75)</f>
        <v/>
      </c>
      <c r="H27" s="57">
        <f>PERCENTILE(H11:H14,0.75)</f>
        <v/>
      </c>
      <c r="M27" s="18">
        <f>PERCENTILE(M11:M14,0.75)</f>
        <v/>
      </c>
      <c r="N27" s="18">
        <f>PERCENTILE(N11:N14,0.75)</f>
        <v/>
      </c>
    </row>
    <row r="28">
      <c r="A28" s="4" t="inlineStr">
        <is>
          <t>Median</t>
        </is>
      </c>
      <c r="G28" s="57">
        <f>MEDIAN(G11:G14)</f>
        <v/>
      </c>
      <c r="H28" s="57">
        <f>MEDIAN(H11:H14)</f>
        <v/>
      </c>
      <c r="M28" s="18">
        <f>MEDIAN(M11:M14)</f>
        <v/>
      </c>
      <c r="N28" s="18">
        <f>MEDIAN(N11:N14)</f>
        <v/>
      </c>
    </row>
    <row r="29">
      <c r="A29" s="4" t="inlineStr">
        <is>
          <t>25th Percentile</t>
        </is>
      </c>
      <c r="G29" s="57">
        <f>PERCENTILE(G11:G14,0.25)</f>
        <v/>
      </c>
      <c r="H29" s="57">
        <f>PERCENTILE(H11:H14,0.25)</f>
        <v/>
      </c>
      <c r="M29" s="18">
        <f>PERCENTILE(M11:M14,0.25)</f>
        <v/>
      </c>
      <c r="N29" s="18">
        <f>PERCENTILE(N11:N14,0.25)</f>
        <v/>
      </c>
    </row>
    <row r="30">
      <c r="A30" s="4" t="inlineStr">
        <is>
          <t>Minimum</t>
        </is>
      </c>
      <c r="G30" s="57">
        <f>MIN(G11:G14)</f>
        <v/>
      </c>
      <c r="H30" s="57">
        <f>MIN(H11:H14)</f>
        <v/>
      </c>
      <c r="M30" s="18">
        <f>MIN(M11:M14)</f>
        <v/>
      </c>
      <c r="N30" s="18">
        <f>MIN(N11:N14)</f>
        <v/>
      </c>
    </row>
    <row r="33">
      <c r="A33" s="8" t="inlineStr">
        <is>
          <t>IMPLIED VALUATION — Apply Peer Multiples to Hesai</t>
        </is>
      </c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</row>
    <row r="34">
      <c r="A34" s="4" t="inlineStr">
        <is>
          <t>NTM Revenue (FY26E, $M)</t>
        </is>
      </c>
      <c r="B34" s="47" t="n">
        <v>648.9041095890411</v>
      </c>
    </row>
    <row r="35">
      <c r="A35" s="4" t="inlineStr">
        <is>
          <t>Apply lidar peer 25%ile EV/Rev NTM</t>
        </is>
      </c>
      <c r="B35" s="58" t="n">
        <v>2</v>
      </c>
    </row>
    <row r="36">
      <c r="A36" s="4" t="inlineStr">
        <is>
          <t>Apply lidar peer Median EV/Rev NTM</t>
        </is>
      </c>
      <c r="B36" s="58" t="n">
        <v>4</v>
      </c>
    </row>
    <row r="37">
      <c r="A37" s="4" t="inlineStr">
        <is>
          <t>Apply lidar peer 75%ile EV/Rev NTM</t>
        </is>
      </c>
      <c r="B37" s="58" t="n">
        <v>6</v>
      </c>
    </row>
    <row r="38">
      <c r="A38" s="28" t="inlineStr">
        <is>
          <t>Implied price / ADS (US$, Bear (2× EV/Rev))</t>
        </is>
      </c>
      <c r="B38" s="59">
        <f>(B34*B35+933)/162</f>
        <v/>
      </c>
    </row>
    <row r="39">
      <c r="A39" s="28" t="inlineStr">
        <is>
          <t>Implied price / ADS (US$, Base (4× EV/Rev))</t>
        </is>
      </c>
      <c r="B39" s="59">
        <f>(B34*B36+933)/162</f>
        <v/>
      </c>
    </row>
    <row r="40">
      <c r="A40" s="28" t="inlineStr">
        <is>
          <t>Implied price / ADS (US$, Bull (6× EV/Rev))</t>
        </is>
      </c>
      <c r="B40" s="59">
        <f>(B34*B37+933)/162</f>
        <v/>
      </c>
    </row>
    <row r="42">
      <c r="A42" s="4" t="inlineStr">
        <is>
          <t>FY27E EPS estimate (US$)</t>
        </is>
      </c>
      <c r="B42" s="60" t="n">
        <v>0.6766293067662931</v>
      </c>
    </row>
    <row r="43">
      <c r="A43" s="4" t="inlineStr">
        <is>
          <t>Apply 25× FY27 P/E (bear)</t>
        </is>
      </c>
      <c r="B43" s="58" t="n">
        <v>25</v>
      </c>
    </row>
    <row r="44">
      <c r="A44" s="4" t="inlineStr">
        <is>
          <t>Apply 32× FY27 P/E (base)</t>
        </is>
      </c>
      <c r="B44" s="58" t="n">
        <v>32</v>
      </c>
    </row>
    <row r="45">
      <c r="A45" s="4" t="inlineStr">
        <is>
          <t>Apply 40× FY27 P/E (bull)</t>
        </is>
      </c>
      <c r="B45" s="58" t="n">
        <v>40</v>
      </c>
    </row>
    <row r="46">
      <c r="A46" s="28" t="inlineStr">
        <is>
          <t>Implied price / ADS (Bear P/E)</t>
        </is>
      </c>
      <c r="B46" s="59">
        <f>B42*B43</f>
        <v/>
      </c>
    </row>
    <row r="47">
      <c r="A47" s="28" t="inlineStr">
        <is>
          <t>Implied price / ADS (Base P/E)</t>
        </is>
      </c>
      <c r="B47" s="59">
        <f>B42*B44</f>
        <v/>
      </c>
    </row>
    <row r="48">
      <c r="A48" s="28" t="inlineStr">
        <is>
          <t>Implied price / ADS (Bull P/E)</t>
        </is>
      </c>
      <c r="B48" s="59">
        <f>B42*B45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8" customWidth="1" min="7" max="7"/>
  </cols>
  <sheetData>
    <row r="1">
      <c r="A1" s="1" t="inlineStr">
        <is>
          <t>HESAI GROUP — VALUATION SUMMARY &amp; PRICE TARGET</t>
        </is>
      </c>
    </row>
    <row r="2">
      <c r="A2" s="3" t="inlineStr">
        <is>
          <t>Methods, ranges, and weighted price target as of 2026-05-19.</t>
        </is>
      </c>
    </row>
    <row r="4">
      <c r="A4" s="29" t="inlineStr">
        <is>
          <t>Method</t>
        </is>
      </c>
      <c r="B4" s="29" t="inlineStr">
        <is>
          <t>Low (US$)</t>
        </is>
      </c>
      <c r="C4" s="29" t="inlineStr">
        <is>
          <t>Base (US$)</t>
        </is>
      </c>
      <c r="D4" s="29" t="inlineStr">
        <is>
          <t>High (US$)</t>
        </is>
      </c>
      <c r="E4" s="29" t="inlineStr">
        <is>
          <t>Weight</t>
        </is>
      </c>
      <c r="F4" s="29" t="inlineStr">
        <is>
          <t>Weighted Base</t>
        </is>
      </c>
      <c r="G4" s="29" t="inlineStr">
        <is>
          <t>Notes</t>
        </is>
      </c>
    </row>
    <row r="5">
      <c r="A5" s="4" t="inlineStr">
        <is>
          <t>DCF — Gordon Perpetuity (g=3%, WACC=11.5%)</t>
        </is>
      </c>
      <c r="B5" s="61" t="n">
        <v>13</v>
      </c>
      <c r="C5" s="61" t="n">
        <v>15.5</v>
      </c>
      <c r="D5" s="61" t="n">
        <v>22.1</v>
      </c>
      <c r="E5" s="51" t="n">
        <v>0.1</v>
      </c>
      <c r="F5" s="61">
        <f>C5*E5</f>
        <v/>
      </c>
      <c r="G5" s="4" t="inlineStr">
        <is>
          <t>Conservative; TV = 85% of EV</t>
        </is>
      </c>
    </row>
    <row r="6">
      <c r="A6" s="4" t="inlineStr">
        <is>
          <t>DCF — Exit Multiple (10/12/14× FY30E EBITDA)</t>
        </is>
      </c>
      <c r="B6" s="61" t="n">
        <v>24.5</v>
      </c>
      <c r="C6" s="61" t="n">
        <v>30.5</v>
      </c>
      <c r="D6" s="61" t="n">
        <v>38</v>
      </c>
      <c r="E6" s="51" t="n">
        <v>0.25</v>
      </c>
      <c r="F6" s="61">
        <f>C6*E6</f>
        <v/>
      </c>
      <c r="G6" s="4" t="inlineStr">
        <is>
          <t>Mid-cycle exit; FY30E EBITDA RMB 2.4bn / US$331M</t>
        </is>
      </c>
    </row>
    <row r="7">
      <c r="A7" s="4" t="inlineStr">
        <is>
          <t>Comps — EV/Revenue NTM (3/5/7× $649M)</t>
        </is>
      </c>
      <c r="B7" s="61" t="n">
        <v>19</v>
      </c>
      <c r="C7" s="61" t="n">
        <v>26</v>
      </c>
      <c r="D7" s="61" t="n">
        <v>35</v>
      </c>
      <c r="E7" s="51" t="n">
        <v>0.15</v>
      </c>
      <c r="F7" s="61">
        <f>C7*E7</f>
        <v/>
      </c>
      <c r="G7" s="4" t="inlineStr">
        <is>
          <t>Lidar peer median 5× NTM EV/Rev (Robosense, OUST)</t>
        </is>
      </c>
    </row>
    <row r="8">
      <c r="A8" s="4" t="inlineStr">
        <is>
          <t>EV/Revenue FY27E (4.5/5.5/6.5× $886M)</t>
        </is>
      </c>
      <c r="B8" s="61" t="n">
        <v>30</v>
      </c>
      <c r="C8" s="61" t="n">
        <v>35.2</v>
      </c>
      <c r="D8" s="61" t="n">
        <v>41</v>
      </c>
      <c r="E8" s="51" t="n">
        <v>0.25</v>
      </c>
      <c r="F8" s="61">
        <f>C8*E8</f>
        <v/>
      </c>
      <c r="G8" s="4" t="inlineStr">
        <is>
          <t>NTM+1 multiple — captures FY27 operating leverage</t>
        </is>
      </c>
    </row>
    <row r="9">
      <c r="A9" s="4" t="inlineStr">
        <is>
          <t>EV/EBITDA FY28E (13/15/18× $216M)</t>
        </is>
      </c>
      <c r="B9" s="61" t="n">
        <v>22.5</v>
      </c>
      <c r="C9" s="61" t="n">
        <v>25.1</v>
      </c>
      <c r="D9" s="61" t="n">
        <v>29</v>
      </c>
      <c r="E9" s="51" t="n">
        <v>0.15</v>
      </c>
      <c r="F9" s="61">
        <f>C9*E9</f>
        <v/>
      </c>
      <c r="G9" s="4" t="inlineStr">
        <is>
          <t>Premium peer EV/EBITDA; profitable scale tier</t>
        </is>
      </c>
    </row>
    <row r="10">
      <c r="A10" s="4" t="inlineStr">
        <is>
          <t>Forward P/E FY28E (25/28/32× $1.00 EPS)</t>
        </is>
      </c>
      <c r="B10" s="61" t="n">
        <v>25</v>
      </c>
      <c r="C10" s="61" t="n">
        <v>28.1</v>
      </c>
      <c r="D10" s="61" t="n">
        <v>32</v>
      </c>
      <c r="E10" s="51" t="n">
        <v>0.1</v>
      </c>
      <c r="F10" s="61">
        <f>C10*E10</f>
        <v/>
      </c>
      <c r="G10" s="4" t="inlineStr">
        <is>
          <t>P/E mid-30s for 40%-grower with op leverage</t>
        </is>
      </c>
    </row>
    <row r="11">
      <c r="A11" s="52" t="inlineStr">
        <is>
          <t>WEIGHTED-AVERAGE PRICE TARGET</t>
        </is>
      </c>
      <c r="B11" s="53" t="n"/>
      <c r="C11" s="53" t="n"/>
      <c r="D11" s="53" t="n"/>
      <c r="E11" s="38">
        <f>SUM(E5:E10)</f>
        <v/>
      </c>
      <c r="F11" s="42">
        <f>SUM(F5:F10)</f>
        <v/>
      </c>
    </row>
    <row r="12">
      <c r="A12" s="28" t="inlineStr">
        <is>
          <t>Rounded 12-month price target</t>
        </is>
      </c>
      <c r="F12" s="42">
        <f>ROUND(F11,0)</f>
        <v/>
      </c>
    </row>
    <row r="13">
      <c r="A13" s="4" t="inlineStr">
        <is>
          <t>Current price (2026-05-15)</t>
        </is>
      </c>
      <c r="F13" s="61" t="n">
        <v>22.44</v>
      </c>
    </row>
    <row r="14">
      <c r="A14" s="28" t="inlineStr">
        <is>
          <t>Upside to target</t>
        </is>
      </c>
      <c r="F14" s="37">
        <f>F11/F13-1</f>
        <v/>
      </c>
    </row>
    <row r="15">
      <c r="A15" s="28" t="inlineStr">
        <is>
          <t>Recommendation</t>
        </is>
      </c>
      <c r="F15" s="62" t="inlineStr">
        <is>
          <t>BUY / OVERWEIGHT</t>
        </is>
      </c>
    </row>
    <row r="18">
      <c r="A18" s="30" t="inlineStr">
        <is>
          <t>FOOTBALL FIELD DATA (for chart)</t>
        </is>
      </c>
    </row>
    <row r="19">
      <c r="A19" s="28" t="inlineStr">
        <is>
          <t>Method</t>
        </is>
      </c>
      <c r="B19" s="28" t="inlineStr">
        <is>
          <t>Low</t>
        </is>
      </c>
      <c r="C19" s="28" t="inlineStr">
        <is>
          <t>High</t>
        </is>
      </c>
      <c r="D19" s="28" t="inlineStr">
        <is>
          <t>Range</t>
        </is>
      </c>
    </row>
    <row r="20">
      <c r="A20" t="inlineStr">
        <is>
          <t>DCF — Gordon Perpetuity (g=3%, WACC=11.5%)</t>
        </is>
      </c>
      <c r="B20" s="63" t="n">
        <v>13</v>
      </c>
      <c r="C20" s="63" t="n">
        <v>22.1</v>
      </c>
      <c r="D20" s="63">
        <f>C20-B20</f>
        <v/>
      </c>
    </row>
    <row r="21">
      <c r="A21" t="inlineStr">
        <is>
          <t>DCF — Exit Multiple (10/12/14× FY30E EBITDA)</t>
        </is>
      </c>
      <c r="B21" s="63" t="n">
        <v>24.5</v>
      </c>
      <c r="C21" s="63" t="n">
        <v>38</v>
      </c>
      <c r="D21" s="63">
        <f>C21-B21</f>
        <v/>
      </c>
    </row>
    <row r="22">
      <c r="A22" t="inlineStr">
        <is>
          <t>Comps — EV/Revenue NTM (3/5/7× $649M)</t>
        </is>
      </c>
      <c r="B22" s="63" t="n">
        <v>19</v>
      </c>
      <c r="C22" s="63" t="n">
        <v>35</v>
      </c>
      <c r="D22" s="63">
        <f>C22-B22</f>
        <v/>
      </c>
    </row>
    <row r="23">
      <c r="A23" t="inlineStr">
        <is>
          <t>EV/Revenue FY27E (4.5/5.5/6.5× $886M)</t>
        </is>
      </c>
      <c r="B23" s="63" t="n">
        <v>30</v>
      </c>
      <c r="C23" s="63" t="n">
        <v>41</v>
      </c>
      <c r="D23" s="63">
        <f>C23-B23</f>
        <v/>
      </c>
    </row>
    <row r="24">
      <c r="A24" t="inlineStr">
        <is>
          <t>EV/EBITDA FY28E (13/15/18× $216M)</t>
        </is>
      </c>
      <c r="B24" s="63" t="n">
        <v>22.5</v>
      </c>
      <c r="C24" s="63" t="n">
        <v>29</v>
      </c>
      <c r="D24" s="63">
        <f>C24-B24</f>
        <v/>
      </c>
    </row>
    <row r="25">
      <c r="A25" t="inlineStr">
        <is>
          <t>Forward P/E FY28E (25/28/32× $1.00 EPS)</t>
        </is>
      </c>
      <c r="B25" s="63" t="n">
        <v>25</v>
      </c>
      <c r="C25" s="63" t="n">
        <v>32</v>
      </c>
      <c r="D25" s="63">
        <f>C25-B25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2026-05-19T18:54:08Z</dcterms:created>
  <dcterms:modified xmlns:dcterms="http://purl.org/dc/terms/" xmlns:xsi="http://www.w3.org/2001/XMLSchema-instance" xsi:type="dcterms:W3CDTF">2026-05-19T18:54:08Z</dcterms:modified>
</cp:coreProperties>
</file>