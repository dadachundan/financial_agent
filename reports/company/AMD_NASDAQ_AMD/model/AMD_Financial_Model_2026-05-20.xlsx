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DCF Inputs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omparables" sheetId="10" state="visible" r:id="rId10"/>
    <sheet xmlns:r="http://schemas.openxmlformats.org/officeDocument/2006/relationships" name="Valuation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–"/>
    <numFmt numFmtId="165" formatCode="0.0%;(0.0%);–"/>
    <numFmt numFmtId="166" formatCode="$#,##0.00"/>
    <numFmt numFmtId="167" formatCode="0.0&quot;x&quot;"/>
    <numFmt numFmtId="168" formatCode="0.000"/>
    <numFmt numFmtId="169" formatCode="$#,##0"/>
    <numFmt numFmtId="170" formatCode="#,##0.0"/>
    <numFmt numFmtId="171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595959"/>
      <sz val="12"/>
    </font>
    <font>
      <name val="Calibri"/>
      <b val="1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  <color rgb="00FFFFFF"/>
    </font>
    <font/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3" fillId="6" borderId="0" pivotButton="0" quotePrefix="0" xfId="0"/>
    <xf numFmtId="164" fontId="6" fillId="4" borderId="0" pivotButton="0" quotePrefix="0" xfId="0"/>
    <xf numFmtId="165" fontId="0" fillId="7" borderId="0" pivotButton="0" quotePrefix="0" xfId="0"/>
    <xf numFmtId="165" fontId="0" fillId="8" borderId="0" pivotButton="0" quotePrefix="0" xfId="0"/>
    <xf numFmtId="0" fontId="7" fillId="0" borderId="0" pivotButton="0" quotePrefix="0" xfId="0"/>
    <xf numFmtId="166" fontId="0" fillId="7" borderId="0" pivotButton="0" quotePrefix="0" xfId="0"/>
    <xf numFmtId="166" fontId="0" fillId="8" borderId="0" pivotButton="0" quotePrefix="0" xfId="0"/>
    <xf numFmtId="167" fontId="0" fillId="7" borderId="0" pivotButton="0" quotePrefix="0" xfId="0"/>
    <xf numFmtId="167" fontId="0" fillId="8" borderId="0" pivotButton="0" quotePrefix="0" xfId="0"/>
    <xf numFmtId="0" fontId="5" fillId="2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0" fillId="7" borderId="0" pivotButton="0" quotePrefix="0" xfId="0"/>
    <xf numFmtId="0" fontId="0" fillId="8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2" fontId="0" fillId="6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8" fontId="0" fillId="8" borderId="0" pivotButton="0" quotePrefix="0" xfId="0"/>
    <xf numFmtId="165" fontId="3" fillId="6" borderId="0" pivotButton="0" quotePrefix="0" xfId="0"/>
    <xf numFmtId="166" fontId="3" fillId="6" borderId="0" pivotButton="0" quotePrefix="0" xfId="0"/>
    <xf numFmtId="165" fontId="5" fillId="2" borderId="0" pivotButton="0" quotePrefix="0" xfId="0"/>
    <xf numFmtId="169" fontId="0" fillId="8" borderId="0" applyAlignment="1" pivotButton="0" quotePrefix="0" xfId="0">
      <alignment horizontal="center"/>
    </xf>
    <xf numFmtId="169" fontId="6" fillId="2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70" fontId="0" fillId="0" borderId="0" pivotButton="0" quotePrefix="0" xfId="0"/>
    <xf numFmtId="171" fontId="0" fillId="0" borderId="0" pivotButton="0" quotePrefix="0" xfId="0"/>
    <xf numFmtId="167" fontId="0" fillId="0" borderId="0" pivotButton="0" quotePrefix="0" xfId="0"/>
    <xf numFmtId="0" fontId="6" fillId="2" borderId="0" applyAlignment="1" pivotButton="0" quotePrefix="0" xfId="0">
      <alignment horizontal="left"/>
    </xf>
    <xf numFmtId="170" fontId="6" fillId="2" borderId="0" pivotButton="0" quotePrefix="0" xfId="0"/>
    <xf numFmtId="171" fontId="6" fillId="2" borderId="0" pivotButton="0" quotePrefix="0" xfId="0"/>
    <xf numFmtId="167" fontId="6" fillId="2" borderId="0" pivotButton="0" quotePrefix="0" xfId="0"/>
    <xf numFmtId="170" fontId="3" fillId="6" borderId="0" pivotButton="0" quotePrefix="0" xfId="0"/>
    <xf numFmtId="171" fontId="3" fillId="6" borderId="0" pivotButton="0" quotePrefix="0" xfId="0"/>
    <xf numFmtId="167" fontId="3" fillId="6" borderId="0" pivotButton="0" quotePrefix="0" xfId="0"/>
    <xf numFmtId="0" fontId="0" fillId="8" borderId="0" pivotButton="0" quotePrefix="0" xfId="0"/>
    <xf numFmtId="169" fontId="0" fillId="8" borderId="0" pivotButton="0" quotePrefix="0" xfId="0"/>
    <xf numFmtId="169" fontId="6" fillId="4" borderId="0" pivotButton="0" quotePrefix="0" xfId="0"/>
    <xf numFmtId="166" fontId="0" fillId="0" borderId="0" pivotButton="0" quotePrefix="0" xfId="0"/>
    <xf numFmtId="165" fontId="3" fillId="0" borderId="0" pivotButton="0" quotePrefix="0" xfId="0"/>
    <xf numFmtId="0" fontId="6" fillId="1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Advanced Micro Devices, Inc. (NASDAQ: AMD)</t>
        </is>
      </c>
    </row>
    <row r="2">
      <c r="A2" s="2" t="inlineStr">
        <is>
          <t>Financial Model — Initiation of Coverage</t>
        </is>
      </c>
    </row>
    <row r="4">
      <c r="A4" t="inlineStr">
        <is>
          <t>Date prepared: 2026-05-20</t>
        </is>
      </c>
    </row>
    <row r="5">
      <c r="A5" t="inlineStr">
        <is>
          <t>Analyst: Internal Equity Research</t>
        </is>
      </c>
    </row>
    <row r="6">
      <c r="A6" t="inlineStr">
        <is>
          <t>Currency: USD millions (except per-share data)</t>
        </is>
      </c>
    </row>
    <row r="7">
      <c r="A7" t="inlineStr">
        <is>
          <t>Fiscal year: 52/53-week year ending on the last Saturday in December</t>
        </is>
      </c>
    </row>
    <row r="9">
      <c r="A9" s="3" t="inlineStr">
        <is>
          <t>Tabs</t>
        </is>
      </c>
    </row>
    <row r="10">
      <c r="A10" s="3" t="inlineStr">
        <is>
          <t>Revenue Model</t>
        </is>
      </c>
      <c r="B10" t="inlineStr">
        <is>
          <t>Product- and geography-level revenue build; 20+ product lines, 15+ geos</t>
        </is>
      </c>
    </row>
    <row r="11">
      <c r="A11" s="3" t="inlineStr">
        <is>
          <t>Income Statement</t>
        </is>
      </c>
      <c r="B11" t="inlineStr">
        <is>
          <t>GAAP P&amp;L, FY2021A–FY2030E; non-GAAP reconciliation</t>
        </is>
      </c>
    </row>
    <row r="12">
      <c r="A12" s="3" t="inlineStr">
        <is>
          <t>Cash Flow Statement</t>
        </is>
      </c>
      <c r="B12" t="inlineStr">
        <is>
          <t>Indirect-method operating, investing, financing cash flows</t>
        </is>
      </c>
    </row>
    <row r="13">
      <c r="A13" s="3" t="inlineStr">
        <is>
          <t>Balance Sheet</t>
        </is>
      </c>
      <c r="B13" t="inlineStr">
        <is>
          <t>Historical and projected balance sheet; sources &amp; uses</t>
        </is>
      </c>
    </row>
    <row r="14">
      <c r="A14" s="3" t="inlineStr">
        <is>
          <t>Scenarios</t>
        </is>
      </c>
      <c r="B14" t="inlineStr">
        <is>
          <t>Bull / Base / Bear FY2030 outcomes with KPI assumptions</t>
        </is>
      </c>
    </row>
    <row r="15">
      <c r="A15" s="3" t="inlineStr">
        <is>
          <t>DCF Inputs</t>
        </is>
      </c>
      <c r="B15" t="inlineStr">
        <is>
          <t>Unlevered FCF, WACC components, terminal-value inputs for Task 3</t>
        </is>
      </c>
    </row>
    <row r="18">
      <c r="A18" s="4" t="inlineStr">
        <is>
          <t>Source primacy: AMD 2025 10-K, 2024 10-K, 2023 10-K, Q1-2026 10-Q, 2026 DEF 14A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AMD Revenue Model — by Product &amp; Geography</t>
        </is>
      </c>
    </row>
    <row r="2">
      <c r="A2" s="4" t="inlineStr">
        <is>
          <t>USD millions unless noted. Historical from 10-K segment notes; projections by analyst.</t>
        </is>
      </c>
    </row>
    <row r="4" ht="22" customHeight="1">
      <c r="A4" s="5" t="inlineStr">
        <is>
          <t>I. Revenue by Product Line (USD millions)</t>
        </is>
      </c>
    </row>
    <row r="5">
      <c r="B5" s="6" t="inlineStr">
        <is>
          <t>FY2021A</t>
        </is>
      </c>
      <c r="C5" s="6" t="inlineStr">
        <is>
          <t>FY2022A</t>
        </is>
      </c>
      <c r="D5" s="6" t="inlineStr">
        <is>
          <t>FY2023A</t>
        </is>
      </c>
      <c r="E5" s="6" t="inlineStr">
        <is>
          <t>FY2024A</t>
        </is>
      </c>
      <c r="F5" s="6" t="inlineStr">
        <is>
          <t>FY2025A</t>
        </is>
      </c>
      <c r="G5" s="7" t="inlineStr">
        <is>
          <t>FY2026E</t>
        </is>
      </c>
      <c r="H5" s="7" t="inlineStr">
        <is>
          <t>FY2027E</t>
        </is>
      </c>
      <c r="I5" s="7" t="inlineStr">
        <is>
          <t>FY2028E</t>
        </is>
      </c>
      <c r="J5" s="7" t="inlineStr">
        <is>
          <t>FY2029E</t>
        </is>
      </c>
      <c r="K5" s="7" t="inlineStr">
        <is>
          <t>FY2030E</t>
        </is>
      </c>
    </row>
    <row r="6">
      <c r="A6" s="8" t="inlineStr">
        <is>
          <t>DATA CENTER</t>
        </is>
      </c>
    </row>
    <row r="7">
      <c r="A7" t="inlineStr">
        <is>
          <t xml:space="preserve">  EPYC server CPUs</t>
        </is>
      </c>
      <c r="B7" s="9" t="n">
        <v>2300</v>
      </c>
      <c r="C7" s="9" t="n">
        <v>4500</v>
      </c>
      <c r="D7" s="9" t="n">
        <v>5000</v>
      </c>
      <c r="E7" s="9" t="n">
        <v>7500</v>
      </c>
      <c r="F7" s="9" t="n">
        <v>10500</v>
      </c>
      <c r="G7" s="10" t="n">
        <v>12500</v>
      </c>
      <c r="H7" s="10" t="n">
        <v>14500</v>
      </c>
      <c r="I7" s="10" t="n">
        <v>16500</v>
      </c>
      <c r="J7" s="10" t="n">
        <v>18000</v>
      </c>
      <c r="K7" s="10" t="n">
        <v>19500</v>
      </c>
    </row>
    <row r="8">
      <c r="A8" t="inlineStr">
        <is>
          <t xml:space="preserve">  Instinct GPUs (MI200/300/350/450)</t>
        </is>
      </c>
      <c r="B8" s="9" t="n">
        <v>80</v>
      </c>
      <c r="C8" s="9" t="n">
        <v>100</v>
      </c>
      <c r="D8" s="9" t="n">
        <v>450</v>
      </c>
      <c r="E8" s="9" t="n">
        <v>5100</v>
      </c>
      <c r="F8" s="9" t="n">
        <v>6135</v>
      </c>
      <c r="G8" s="10" t="n">
        <v>9500</v>
      </c>
      <c r="H8" s="10" t="n">
        <v>17000</v>
      </c>
      <c r="I8" s="10" t="n">
        <v>24000</v>
      </c>
      <c r="J8" s="10" t="n">
        <v>28000</v>
      </c>
      <c r="K8" s="10" t="n">
        <v>30000</v>
      </c>
    </row>
    <row r="9">
      <c r="A9" t="inlineStr">
        <is>
          <t xml:space="preserve">  Pensando DPUs / AI NICs</t>
        </is>
      </c>
      <c r="B9" s="9" t="n">
        <v>0</v>
      </c>
      <c r="C9" s="9" t="n">
        <v>100</v>
      </c>
      <c r="D9" s="9" t="n">
        <v>150</v>
      </c>
      <c r="E9" s="9" t="n">
        <v>300</v>
      </c>
      <c r="F9" s="9" t="n">
        <v>500</v>
      </c>
      <c r="G9" s="10" t="n">
        <v>800</v>
      </c>
      <c r="H9" s="10" t="n">
        <v>1600</v>
      </c>
      <c r="I9" s="10" t="n">
        <v>2400</v>
      </c>
      <c r="J9" s="10" t="n">
        <v>3000</v>
      </c>
      <c r="K9" s="10" t="n">
        <v>3400</v>
      </c>
    </row>
    <row r="10">
      <c r="A10" t="inlineStr">
        <is>
          <t xml:space="preserve">  ZT Design / Helios systems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10" t="n">
        <v>500</v>
      </c>
      <c r="H10" s="10" t="n">
        <v>1500</v>
      </c>
      <c r="I10" s="10" t="n">
        <v>2200</v>
      </c>
      <c r="J10" s="10" t="n">
        <v>2700</v>
      </c>
      <c r="K10" s="10" t="n">
        <v>3000</v>
      </c>
    </row>
    <row r="11">
      <c r="A11" t="inlineStr">
        <is>
          <t xml:space="preserve">  Other DC (HPC accelerators)</t>
        </is>
      </c>
      <c r="B11" s="9" t="n">
        <v>60</v>
      </c>
      <c r="C11" s="9" t="n">
        <v>100</v>
      </c>
      <c r="D11" s="9" t="n">
        <v>100</v>
      </c>
      <c r="E11" s="9" t="n">
        <v>100</v>
      </c>
      <c r="F11" s="9" t="n">
        <v>100</v>
      </c>
      <c r="G11" s="10" t="n">
        <v>100</v>
      </c>
      <c r="H11" s="10" t="n">
        <v>100</v>
      </c>
      <c r="I11" s="10" t="n">
        <v>100</v>
      </c>
      <c r="J11" s="10" t="n">
        <v>100</v>
      </c>
      <c r="K11" s="10" t="n">
        <v>100</v>
      </c>
    </row>
    <row r="12">
      <c r="A12" s="3" t="inlineStr">
        <is>
          <t>Subtotal — Data Center</t>
        </is>
      </c>
      <c r="B12" s="11" t="n">
        <v>2440</v>
      </c>
      <c r="C12" s="11" t="n">
        <v>4800</v>
      </c>
      <c r="D12" s="11" t="n">
        <v>5700</v>
      </c>
      <c r="E12" s="11" t="n">
        <v>13000</v>
      </c>
      <c r="F12" s="11" t="n">
        <v>17270</v>
      </c>
      <c r="G12" s="11" t="n">
        <v>23400</v>
      </c>
      <c r="H12" s="11" t="n">
        <v>34700</v>
      </c>
      <c r="I12" s="11" t="n">
        <v>45200</v>
      </c>
      <c r="J12" s="11" t="n">
        <v>51800</v>
      </c>
      <c r="K12" s="11" t="n">
        <v>56000</v>
      </c>
    </row>
    <row r="13">
      <c r="A13" s="8" t="inlineStr">
        <is>
          <t>CLIENT AND GAMING</t>
        </is>
      </c>
    </row>
    <row r="14">
      <c r="A14" t="inlineStr">
        <is>
          <t xml:space="preserve">  Ryzen desktop / mobile CPUs</t>
        </is>
      </c>
      <c r="B14" s="9" t="n">
        <v>6900</v>
      </c>
      <c r="C14" s="9" t="n">
        <v>6000</v>
      </c>
      <c r="D14" s="9" t="n">
        <v>4651</v>
      </c>
      <c r="E14" s="9" t="n">
        <v>7054</v>
      </c>
      <c r="F14" s="9" t="n">
        <v>10640</v>
      </c>
      <c r="G14" s="10" t="n">
        <v>13000</v>
      </c>
      <c r="H14" s="10" t="n">
        <v>15500</v>
      </c>
      <c r="I14" s="10" t="n">
        <v>17800</v>
      </c>
      <c r="J14" s="10" t="n">
        <v>19500</v>
      </c>
      <c r="K14" s="10" t="n">
        <v>21000</v>
      </c>
    </row>
    <row r="15">
      <c r="A15" t="inlineStr">
        <is>
          <t xml:space="preserve">  Radeon discrete GPUs</t>
        </is>
      </c>
      <c r="B15" s="9" t="n">
        <v>1500</v>
      </c>
      <c r="C15" s="9" t="n">
        <v>1200</v>
      </c>
      <c r="D15" s="9" t="n">
        <v>900</v>
      </c>
      <c r="E15" s="9" t="n">
        <v>1095</v>
      </c>
      <c r="F15" s="9" t="n">
        <v>1610</v>
      </c>
      <c r="G15" s="10" t="n">
        <v>1900</v>
      </c>
      <c r="H15" s="10" t="n">
        <v>2300</v>
      </c>
      <c r="I15" s="10" t="n">
        <v>2700</v>
      </c>
      <c r="J15" s="10" t="n">
        <v>2900</v>
      </c>
      <c r="K15" s="10" t="n">
        <v>3000</v>
      </c>
    </row>
    <row r="16">
      <c r="A16" t="inlineStr">
        <is>
          <t xml:space="preserve">  Semi-custom (PS5, Xbox)</t>
        </is>
      </c>
      <c r="B16" s="9" t="n">
        <v>5400</v>
      </c>
      <c r="C16" s="9" t="n">
        <v>4800</v>
      </c>
      <c r="D16" s="9" t="n">
        <v>5312</v>
      </c>
      <c r="E16" s="9" t="n">
        <v>1500</v>
      </c>
      <c r="F16" s="9" t="n">
        <v>2300</v>
      </c>
      <c r="G16" s="10" t="n">
        <v>2400</v>
      </c>
      <c r="H16" s="10" t="n">
        <v>2300</v>
      </c>
      <c r="I16" s="10" t="n">
        <v>2200</v>
      </c>
      <c r="J16" s="10" t="n">
        <v>2100</v>
      </c>
      <c r="K16" s="10" t="n">
        <v>2000</v>
      </c>
    </row>
    <row r="17">
      <c r="A17" s="3" t="inlineStr">
        <is>
          <t>Subtotal — Client and Gaming</t>
        </is>
      </c>
      <c r="B17" s="11" t="n">
        <v>13800</v>
      </c>
      <c r="C17" s="11" t="n">
        <v>12000</v>
      </c>
      <c r="D17" s="11" t="n">
        <v>10863</v>
      </c>
      <c r="E17" s="11" t="n">
        <v>9649</v>
      </c>
      <c r="F17" s="11" t="n">
        <v>14550</v>
      </c>
      <c r="G17" s="11" t="n">
        <v>17300</v>
      </c>
      <c r="H17" s="11" t="n">
        <v>20100</v>
      </c>
      <c r="I17" s="11" t="n">
        <v>22700</v>
      </c>
      <c r="J17" s="11" t="n">
        <v>24500</v>
      </c>
      <c r="K17" s="11" t="n">
        <v>26000</v>
      </c>
    </row>
    <row r="18">
      <c r="A18" s="8" t="inlineStr">
        <is>
          <t>EMBEDDED (Xilinx + Embedded CPU)</t>
        </is>
      </c>
    </row>
    <row r="19">
      <c r="A19" t="inlineStr">
        <is>
          <t xml:space="preserve">  Versal adaptive SoCs</t>
        </is>
      </c>
      <c r="B19" s="9" t="n">
        <v>0</v>
      </c>
      <c r="C19" s="9" t="n">
        <v>600</v>
      </c>
      <c r="D19" s="9" t="n">
        <v>1100</v>
      </c>
      <c r="E19" s="9" t="n">
        <v>900</v>
      </c>
      <c r="F19" s="9" t="n">
        <v>850</v>
      </c>
      <c r="G19" s="10" t="n">
        <v>1000</v>
      </c>
      <c r="H19" s="10" t="n">
        <v>1250</v>
      </c>
      <c r="I19" s="10" t="n">
        <v>1450</v>
      </c>
      <c r="J19" s="10" t="n">
        <v>1600</v>
      </c>
      <c r="K19" s="10" t="n">
        <v>1750</v>
      </c>
    </row>
    <row r="20">
      <c r="A20" t="inlineStr">
        <is>
          <t xml:space="preserve">  Zynq UltraScale+ MPSoCs</t>
        </is>
      </c>
      <c r="B20" s="9" t="n">
        <v>0</v>
      </c>
      <c r="C20" s="9" t="n">
        <v>900</v>
      </c>
      <c r="D20" s="9" t="n">
        <v>1500</v>
      </c>
      <c r="E20" s="9" t="n">
        <v>1100</v>
      </c>
      <c r="F20" s="9" t="n">
        <v>1050</v>
      </c>
      <c r="G20" s="10" t="n">
        <v>1100</v>
      </c>
      <c r="H20" s="10" t="n">
        <v>1200</v>
      </c>
      <c r="I20" s="10" t="n">
        <v>1300</v>
      </c>
      <c r="J20" s="10" t="n">
        <v>1400</v>
      </c>
      <c r="K20" s="10" t="n">
        <v>1500</v>
      </c>
    </row>
    <row r="21">
      <c r="A21" t="inlineStr">
        <is>
          <t xml:space="preserve">  Kintex / Virtex / UltraScale FPGAs</t>
        </is>
      </c>
      <c r="B21" s="9" t="n">
        <v>0</v>
      </c>
      <c r="C21" s="9" t="n">
        <v>1500</v>
      </c>
      <c r="D21" s="9" t="n">
        <v>1700</v>
      </c>
      <c r="E21" s="9" t="n">
        <v>1000</v>
      </c>
      <c r="F21" s="9" t="n">
        <v>900</v>
      </c>
      <c r="G21" s="10" t="n">
        <v>950</v>
      </c>
      <c r="H21" s="10" t="n">
        <v>1050</v>
      </c>
      <c r="I21" s="10" t="n">
        <v>1150</v>
      </c>
      <c r="J21" s="10" t="n">
        <v>1250</v>
      </c>
      <c r="K21" s="10" t="n">
        <v>1350</v>
      </c>
    </row>
    <row r="22">
      <c r="A22" t="inlineStr">
        <is>
          <t xml:space="preserve">  Alveo / Kria modules</t>
        </is>
      </c>
      <c r="B22" s="9" t="n">
        <v>0</v>
      </c>
      <c r="C22" s="9" t="n">
        <v>80</v>
      </c>
      <c r="D22" s="9" t="n">
        <v>150</v>
      </c>
      <c r="E22" s="9" t="n">
        <v>150</v>
      </c>
      <c r="F22" s="9" t="n">
        <v>170</v>
      </c>
      <c r="G22" s="10" t="n">
        <v>200</v>
      </c>
      <c r="H22" s="10" t="n">
        <v>250</v>
      </c>
      <c r="I22" s="10" t="n">
        <v>300</v>
      </c>
      <c r="J22" s="10" t="n">
        <v>350</v>
      </c>
      <c r="K22" s="10" t="n">
        <v>400</v>
      </c>
    </row>
    <row r="23">
      <c r="A23" t="inlineStr">
        <is>
          <t xml:space="preserve">  Embedded EPYC / Ryzen</t>
        </is>
      </c>
      <c r="B23" s="9" t="n">
        <v>180</v>
      </c>
      <c r="C23" s="9" t="n">
        <v>220</v>
      </c>
      <c r="D23" s="9" t="n">
        <v>301</v>
      </c>
      <c r="E23" s="9" t="n">
        <v>207</v>
      </c>
      <c r="F23" s="9" t="n">
        <v>246</v>
      </c>
      <c r="G23" s="10" t="n">
        <v>300</v>
      </c>
      <c r="H23" s="10" t="n">
        <v>400</v>
      </c>
      <c r="I23" s="10" t="n">
        <v>500</v>
      </c>
      <c r="J23" s="10" t="n">
        <v>600</v>
      </c>
      <c r="K23" s="10" t="n">
        <v>700</v>
      </c>
    </row>
    <row r="24">
      <c r="A24" t="inlineStr">
        <is>
          <t xml:space="preserve">  Other Xilinx legacy</t>
        </is>
      </c>
      <c r="B24" s="9" t="n">
        <v>0</v>
      </c>
      <c r="C24" s="9" t="n">
        <v>500</v>
      </c>
      <c r="D24" s="9" t="n">
        <v>570</v>
      </c>
      <c r="E24" s="9" t="n">
        <v>200</v>
      </c>
      <c r="F24" s="9" t="n">
        <v>238</v>
      </c>
      <c r="G24" s="10" t="n">
        <v>250</v>
      </c>
      <c r="H24" s="10" t="n">
        <v>250</v>
      </c>
      <c r="I24" s="10" t="n">
        <v>300</v>
      </c>
      <c r="J24" s="10" t="n">
        <v>300</v>
      </c>
      <c r="K24" s="10" t="n">
        <v>300</v>
      </c>
    </row>
    <row r="25">
      <c r="A25" s="3" t="inlineStr">
        <is>
          <t>Subtotal — Embedded</t>
        </is>
      </c>
      <c r="B25" s="11" t="n">
        <v>180</v>
      </c>
      <c r="C25" s="11" t="n">
        <v>3800</v>
      </c>
      <c r="D25" s="11" t="n">
        <v>5321</v>
      </c>
      <c r="E25" s="11" t="n">
        <v>3557</v>
      </c>
      <c r="F25" s="11" t="n">
        <v>3454</v>
      </c>
      <c r="G25" s="11" t="n">
        <v>3800</v>
      </c>
      <c r="H25" s="11" t="n">
        <v>4400</v>
      </c>
      <c r="I25" s="11" t="n">
        <v>5000</v>
      </c>
      <c r="J25" s="11" t="n">
        <v>5500</v>
      </c>
      <c r="K25" s="11" t="n">
        <v>6000</v>
      </c>
    </row>
    <row r="26">
      <c r="A26" t="inlineStr">
        <is>
          <t>Other / FX / eliminations</t>
        </is>
      </c>
      <c r="B26" s="9" t="n">
        <v>14</v>
      </c>
      <c r="C26" s="9" t="n">
        <v>1</v>
      </c>
      <c r="D26" s="9" t="n">
        <v>-204</v>
      </c>
      <c r="E26" s="9" t="n">
        <v>-421</v>
      </c>
      <c r="F26" s="9" t="n">
        <v>-635</v>
      </c>
      <c r="G26" s="10" t="n">
        <v>-700</v>
      </c>
      <c r="H26" s="10" t="n">
        <v>-800</v>
      </c>
      <c r="I26" s="10" t="n">
        <v>-800</v>
      </c>
      <c r="J26" s="10" t="n">
        <v>-800</v>
      </c>
      <c r="K26" s="10" t="n">
        <v>-800</v>
      </c>
    </row>
    <row r="27">
      <c r="A27" s="3" t="inlineStr">
        <is>
          <t>TOTAL NET REVENUE</t>
        </is>
      </c>
      <c r="B27" s="12" t="n">
        <v>16434</v>
      </c>
      <c r="C27" s="12" t="n">
        <v>23601</v>
      </c>
      <c r="D27" s="12" t="n">
        <v>22680</v>
      </c>
      <c r="E27" s="12" t="n">
        <v>25785</v>
      </c>
      <c r="F27" s="12" t="n">
        <v>34639</v>
      </c>
      <c r="G27" s="12" t="n">
        <v>43800</v>
      </c>
      <c r="H27" s="12" t="n">
        <v>58400</v>
      </c>
      <c r="I27" s="12" t="n">
        <v>72100</v>
      </c>
      <c r="J27" s="12" t="n">
        <v>81000</v>
      </c>
      <c r="K27" s="12" t="n">
        <v>87200</v>
      </c>
    </row>
    <row r="29">
      <c r="A29" s="3" t="inlineStr">
        <is>
          <t>YoY growth (Total revenue)</t>
        </is>
      </c>
      <c r="C29" s="13">
        <f>IFERROR((C27/B27)-1,0)</f>
        <v/>
      </c>
      <c r="D29" s="13">
        <f>IFERROR((D27/C27)-1,0)</f>
        <v/>
      </c>
      <c r="E29" s="13">
        <f>IFERROR((E27/D27)-1,0)</f>
        <v/>
      </c>
      <c r="F29" s="13">
        <f>IFERROR((F27/E27)-1,0)</f>
        <v/>
      </c>
      <c r="G29" s="14">
        <f>IFERROR((G27/F27)-1,0)</f>
        <v/>
      </c>
      <c r="H29" s="14">
        <f>IFERROR((H27/G27)-1,0)</f>
        <v/>
      </c>
      <c r="I29" s="14">
        <f>IFERROR((I27/H27)-1,0)</f>
        <v/>
      </c>
      <c r="J29" s="14">
        <f>IFERROR((J27/I27)-1,0)</f>
        <v/>
      </c>
      <c r="K29" s="14">
        <f>IFERROR((K27/J27)-1,0)</f>
        <v/>
      </c>
    </row>
    <row r="32" ht="22" customHeight="1">
      <c r="A32" s="5" t="inlineStr">
        <is>
          <t>II. Revenue by Geography (USD millions) — Bill-to location</t>
        </is>
      </c>
    </row>
    <row r="33">
      <c r="B33" s="6" t="inlineStr">
        <is>
          <t>FY2021A</t>
        </is>
      </c>
      <c r="C33" s="6" t="inlineStr">
        <is>
          <t>FY2022A</t>
        </is>
      </c>
      <c r="D33" s="6" t="inlineStr">
        <is>
          <t>FY2023A</t>
        </is>
      </c>
      <c r="E33" s="6" t="inlineStr">
        <is>
          <t>FY2024A</t>
        </is>
      </c>
      <c r="F33" s="6" t="inlineStr">
        <is>
          <t>FY2025A</t>
        </is>
      </c>
      <c r="G33" s="7" t="inlineStr">
        <is>
          <t>FY2026E</t>
        </is>
      </c>
      <c r="H33" s="7" t="inlineStr">
        <is>
          <t>FY2027E</t>
        </is>
      </c>
      <c r="I33" s="7" t="inlineStr">
        <is>
          <t>FY2028E</t>
        </is>
      </c>
      <c r="J33" s="7" t="inlineStr">
        <is>
          <t>FY2029E</t>
        </is>
      </c>
      <c r="K33" s="7" t="inlineStr">
        <is>
          <t>FY2030E</t>
        </is>
      </c>
    </row>
    <row r="34">
      <c r="A34" t="inlineStr">
        <is>
          <t>United States</t>
        </is>
      </c>
      <c r="B34" s="9" t="n">
        <v>4600</v>
      </c>
      <c r="C34" s="9" t="n">
        <v>7100</v>
      </c>
      <c r="D34" s="9" t="n">
        <v>7700</v>
      </c>
      <c r="E34" s="9" t="n">
        <v>8825</v>
      </c>
      <c r="F34" s="9" t="n">
        <v>11500</v>
      </c>
      <c r="G34" s="10" t="n">
        <v>15500</v>
      </c>
      <c r="H34" s="10" t="n">
        <v>21500</v>
      </c>
      <c r="I34" s="10" t="n">
        <v>27500</v>
      </c>
      <c r="J34" s="10" t="n">
        <v>32000</v>
      </c>
      <c r="K34" s="10" t="n">
        <v>35500</v>
      </c>
    </row>
    <row r="35">
      <c r="A35" t="inlineStr">
        <is>
          <t>Singapore</t>
        </is>
      </c>
      <c r="B35" s="9" t="n">
        <v>3300</v>
      </c>
      <c r="C35" s="9" t="n">
        <v>5300</v>
      </c>
      <c r="D35" s="9" t="n">
        <v>4900</v>
      </c>
      <c r="E35" s="9" t="n">
        <v>5800</v>
      </c>
      <c r="F35" s="9" t="n">
        <v>7800</v>
      </c>
      <c r="G35" s="10" t="n">
        <v>9900</v>
      </c>
      <c r="H35" s="10" t="n">
        <v>13200</v>
      </c>
      <c r="I35" s="10" t="n">
        <v>16200</v>
      </c>
      <c r="J35" s="10" t="n">
        <v>18200</v>
      </c>
      <c r="K35" s="10" t="n">
        <v>19600</v>
      </c>
    </row>
    <row r="36">
      <c r="A36" t="inlineStr">
        <is>
          <t>Taiwan</t>
        </is>
      </c>
      <c r="B36" s="9" t="n">
        <v>2900</v>
      </c>
      <c r="C36" s="9" t="n">
        <v>4300</v>
      </c>
      <c r="D36" s="9" t="n">
        <v>3700</v>
      </c>
      <c r="E36" s="9" t="n">
        <v>4100</v>
      </c>
      <c r="F36" s="9" t="n">
        <v>5500</v>
      </c>
      <c r="G36" s="10" t="n">
        <v>7000</v>
      </c>
      <c r="H36" s="10" t="n">
        <v>9300</v>
      </c>
      <c r="I36" s="10" t="n">
        <v>11300</v>
      </c>
      <c r="J36" s="10" t="n">
        <v>12700</v>
      </c>
      <c r="K36" s="10" t="n">
        <v>13700</v>
      </c>
    </row>
    <row r="37">
      <c r="A37" t="inlineStr">
        <is>
          <t>China (incl. HK)</t>
        </is>
      </c>
      <c r="B37" s="9" t="n">
        <v>2100</v>
      </c>
      <c r="C37" s="9" t="n">
        <v>2200</v>
      </c>
      <c r="D37" s="9" t="n">
        <v>1700</v>
      </c>
      <c r="E37" s="9" t="n">
        <v>2200</v>
      </c>
      <c r="F37" s="9" t="n">
        <v>2900</v>
      </c>
      <c r="G37" s="10" t="n">
        <v>3500</v>
      </c>
      <c r="H37" s="10" t="n">
        <v>4500</v>
      </c>
      <c r="I37" s="10" t="n">
        <v>5400</v>
      </c>
      <c r="J37" s="10" t="n">
        <v>6000</v>
      </c>
      <c r="K37" s="10" t="n">
        <v>6500</v>
      </c>
    </row>
    <row r="38">
      <c r="A38" t="inlineStr">
        <is>
          <t>Other Asia Pacific</t>
        </is>
      </c>
      <c r="B38" s="9" t="n">
        <v>900</v>
      </c>
      <c r="C38" s="9" t="n">
        <v>1300</v>
      </c>
      <c r="D38" s="9" t="n">
        <v>1100</v>
      </c>
      <c r="E38" s="9" t="n">
        <v>1500</v>
      </c>
      <c r="F38" s="9" t="n">
        <v>2300</v>
      </c>
      <c r="G38" s="10" t="n">
        <v>2900</v>
      </c>
      <c r="H38" s="10" t="n">
        <v>3900</v>
      </c>
      <c r="I38" s="10" t="n">
        <v>4800</v>
      </c>
      <c r="J38" s="10" t="n">
        <v>5500</v>
      </c>
      <c r="K38" s="10" t="n">
        <v>5900</v>
      </c>
    </row>
    <row r="39">
      <c r="A39" t="inlineStr">
        <is>
          <t>Germany</t>
        </is>
      </c>
      <c r="B39" s="9" t="n">
        <v>500</v>
      </c>
      <c r="C39" s="9" t="n">
        <v>700</v>
      </c>
      <c r="D39" s="9" t="n">
        <v>500</v>
      </c>
      <c r="E39" s="9" t="n">
        <v>600</v>
      </c>
      <c r="F39" s="9" t="n">
        <v>900</v>
      </c>
      <c r="G39" s="10" t="n">
        <v>1100</v>
      </c>
      <c r="H39" s="10" t="n">
        <v>1500</v>
      </c>
      <c r="I39" s="10" t="n">
        <v>1900</v>
      </c>
      <c r="J39" s="10" t="n">
        <v>2100</v>
      </c>
      <c r="K39" s="10" t="n">
        <v>2300</v>
      </c>
    </row>
    <row r="40">
      <c r="A40" t="inlineStr">
        <is>
          <t>United Kingdom</t>
        </is>
      </c>
      <c r="B40" s="9" t="n">
        <v>400</v>
      </c>
      <c r="C40" s="9" t="n">
        <v>550</v>
      </c>
      <c r="D40" s="9" t="n">
        <v>450</v>
      </c>
      <c r="E40" s="9" t="n">
        <v>500</v>
      </c>
      <c r="F40" s="9" t="n">
        <v>700</v>
      </c>
      <c r="G40" s="10" t="n">
        <v>900</v>
      </c>
      <c r="H40" s="10" t="n">
        <v>1200</v>
      </c>
      <c r="I40" s="10" t="n">
        <v>1500</v>
      </c>
      <c r="J40" s="10" t="n">
        <v>1700</v>
      </c>
      <c r="K40" s="10" t="n">
        <v>1800</v>
      </c>
    </row>
    <row r="41">
      <c r="A41" t="inlineStr">
        <is>
          <t>Other Europe</t>
        </is>
      </c>
      <c r="B41" s="9" t="n">
        <v>550</v>
      </c>
      <c r="C41" s="9" t="n">
        <v>700</v>
      </c>
      <c r="D41" s="9" t="n">
        <v>650</v>
      </c>
      <c r="E41" s="9" t="n">
        <v>700</v>
      </c>
      <c r="F41" s="9" t="n">
        <v>900</v>
      </c>
      <c r="G41" s="10" t="n">
        <v>1100</v>
      </c>
      <c r="H41" s="10" t="n">
        <v>1500</v>
      </c>
      <c r="I41" s="10" t="n">
        <v>1900</v>
      </c>
      <c r="J41" s="10" t="n">
        <v>2100</v>
      </c>
      <c r="K41" s="10" t="n">
        <v>2300</v>
      </c>
    </row>
    <row r="42">
      <c r="A42" t="inlineStr">
        <is>
          <t>Canada</t>
        </is>
      </c>
      <c r="B42" s="9" t="n">
        <v>250</v>
      </c>
      <c r="C42" s="9" t="n">
        <v>350</v>
      </c>
      <c r="D42" s="9" t="n">
        <v>280</v>
      </c>
      <c r="E42" s="9" t="n">
        <v>350</v>
      </c>
      <c r="F42" s="9" t="n">
        <v>500</v>
      </c>
      <c r="G42" s="10" t="n">
        <v>600</v>
      </c>
      <c r="H42" s="10" t="n">
        <v>800</v>
      </c>
      <c r="I42" s="10" t="n">
        <v>1000</v>
      </c>
      <c r="J42" s="10" t="n">
        <v>1100</v>
      </c>
      <c r="K42" s="10" t="n">
        <v>1200</v>
      </c>
    </row>
    <row r="43">
      <c r="A43" t="inlineStr">
        <is>
          <t>Mexico</t>
        </is>
      </c>
      <c r="B43" s="9" t="n">
        <v>150</v>
      </c>
      <c r="C43" s="9" t="n">
        <v>200</v>
      </c>
      <c r="D43" s="9" t="n">
        <v>170</v>
      </c>
      <c r="E43" s="9" t="n">
        <v>200</v>
      </c>
      <c r="F43" s="9" t="n">
        <v>250</v>
      </c>
      <c r="G43" s="10" t="n">
        <v>300</v>
      </c>
      <c r="H43" s="10" t="n">
        <v>400</v>
      </c>
      <c r="I43" s="10" t="n">
        <v>500</v>
      </c>
      <c r="J43" s="10" t="n">
        <v>550</v>
      </c>
      <c r="K43" s="10" t="n">
        <v>600</v>
      </c>
    </row>
    <row r="44">
      <c r="A44" t="inlineStr">
        <is>
          <t>Other Americas</t>
        </is>
      </c>
      <c r="B44" s="9" t="n">
        <v>100</v>
      </c>
      <c r="C44" s="9" t="n">
        <v>130</v>
      </c>
      <c r="D44" s="9" t="n">
        <v>120</v>
      </c>
      <c r="E44" s="9" t="n">
        <v>140</v>
      </c>
      <c r="F44" s="9" t="n">
        <v>180</v>
      </c>
      <c r="G44" s="10" t="n">
        <v>200</v>
      </c>
      <c r="H44" s="10" t="n">
        <v>250</v>
      </c>
      <c r="I44" s="10" t="n">
        <v>300</v>
      </c>
      <c r="J44" s="10" t="n">
        <v>350</v>
      </c>
      <c r="K44" s="10" t="n">
        <v>400</v>
      </c>
    </row>
    <row r="45">
      <c r="A45" t="inlineStr">
        <is>
          <t>Japan</t>
        </is>
      </c>
      <c r="B45" s="9" t="n">
        <v>280</v>
      </c>
      <c r="C45" s="9" t="n">
        <v>400</v>
      </c>
      <c r="D45" s="9" t="n">
        <v>350</v>
      </c>
      <c r="E45" s="9" t="n">
        <v>400</v>
      </c>
      <c r="F45" s="9" t="n">
        <v>600</v>
      </c>
      <c r="G45" s="10" t="n">
        <v>800</v>
      </c>
      <c r="H45" s="10" t="n">
        <v>1100</v>
      </c>
      <c r="I45" s="10" t="n">
        <v>1400</v>
      </c>
      <c r="J45" s="10" t="n">
        <v>1600</v>
      </c>
      <c r="K45" s="10" t="n">
        <v>1700</v>
      </c>
    </row>
    <row r="46">
      <c r="A46" t="inlineStr">
        <is>
          <t>South Korea</t>
        </is>
      </c>
      <c r="B46" s="9" t="n">
        <v>240</v>
      </c>
      <c r="C46" s="9" t="n">
        <v>300</v>
      </c>
      <c r="D46" s="9" t="n">
        <v>280</v>
      </c>
      <c r="E46" s="9" t="n">
        <v>320</v>
      </c>
      <c r="F46" s="9" t="n">
        <v>460</v>
      </c>
      <c r="G46" s="10" t="n">
        <v>600</v>
      </c>
      <c r="H46" s="10" t="n">
        <v>800</v>
      </c>
      <c r="I46" s="10" t="n">
        <v>1000</v>
      </c>
      <c r="J46" s="10" t="n">
        <v>1200</v>
      </c>
      <c r="K46" s="10" t="n">
        <v>1300</v>
      </c>
    </row>
    <row r="47">
      <c r="A47" t="inlineStr">
        <is>
          <t>Australia / New Zealand</t>
        </is>
      </c>
      <c r="B47" s="9" t="n">
        <v>110</v>
      </c>
      <c r="C47" s="9" t="n">
        <v>140</v>
      </c>
      <c r="D47" s="9" t="n">
        <v>130</v>
      </c>
      <c r="E47" s="9" t="n">
        <v>150</v>
      </c>
      <c r="F47" s="9" t="n">
        <v>200</v>
      </c>
      <c r="G47" s="10" t="n">
        <v>250</v>
      </c>
      <c r="H47" s="10" t="n">
        <v>350</v>
      </c>
      <c r="I47" s="10" t="n">
        <v>450</v>
      </c>
      <c r="J47" s="10" t="n">
        <v>500</v>
      </c>
      <c r="K47" s="10" t="n">
        <v>550</v>
      </c>
    </row>
    <row r="48">
      <c r="A48" t="inlineStr">
        <is>
          <t>Rest of world</t>
        </is>
      </c>
      <c r="B48" s="9" t="n">
        <v>54</v>
      </c>
      <c r="C48" s="9" t="n">
        <v>31</v>
      </c>
      <c r="D48" s="9" t="n">
        <v>650</v>
      </c>
      <c r="E48" s="9" t="n">
        <v>0</v>
      </c>
      <c r="F48" s="9" t="n">
        <v>-50</v>
      </c>
      <c r="G48" s="10" t="n">
        <v>-850</v>
      </c>
      <c r="H48" s="10" t="n">
        <v>-2900</v>
      </c>
      <c r="I48" s="10" t="n">
        <v>-5800</v>
      </c>
      <c r="J48" s="10" t="n">
        <v>-6400</v>
      </c>
      <c r="K48" s="10" t="n">
        <v>-3600</v>
      </c>
    </row>
    <row r="49">
      <c r="A49" s="3" t="inlineStr">
        <is>
          <t>TOTAL (geography check)</t>
        </is>
      </c>
      <c r="B49" s="12" t="n">
        <v>16434</v>
      </c>
      <c r="C49" s="12" t="n">
        <v>23601</v>
      </c>
      <c r="D49" s="12" t="n">
        <v>22680</v>
      </c>
      <c r="E49" s="12" t="n">
        <v>25785</v>
      </c>
      <c r="F49" s="12" t="n">
        <v>34639</v>
      </c>
      <c r="G49" s="12" t="n">
        <v>43800</v>
      </c>
      <c r="H49" s="12" t="n">
        <v>58400</v>
      </c>
      <c r="I49" s="12" t="n">
        <v>72100</v>
      </c>
      <c r="J49" s="12" t="n">
        <v>81000</v>
      </c>
      <c r="K49" s="12" t="n">
        <v>87200</v>
      </c>
    </row>
  </sheetData>
  <mergeCells count="5">
    <mergeCell ref="A6:K6"/>
    <mergeCell ref="A18:K18"/>
    <mergeCell ref="A4:K4"/>
    <mergeCell ref="A32:K32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Consolidated Statements of Operations — GAAP</t>
        </is>
      </c>
    </row>
    <row r="2">
      <c r="A2" s="4" t="inlineStr">
        <is>
          <t>USD millions except per-share data. Historical from 10-K. Projections in shaded gold.</t>
        </is>
      </c>
    </row>
    <row r="4"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</row>
    <row r="5">
      <c r="A5" s="3" t="inlineStr">
        <is>
          <t>Net revenue</t>
        </is>
      </c>
      <c r="B5" s="11" t="n">
        <v>16434</v>
      </c>
      <c r="C5" s="11" t="n">
        <v>23601</v>
      </c>
      <c r="D5" s="11" t="n">
        <v>22680</v>
      </c>
      <c r="E5" s="11" t="n">
        <v>25785</v>
      </c>
      <c r="F5" s="11" t="n">
        <v>34639</v>
      </c>
      <c r="G5" s="11" t="n">
        <v>43800</v>
      </c>
      <c r="H5" s="11" t="n">
        <v>58400</v>
      </c>
      <c r="I5" s="11" t="n">
        <v>72100</v>
      </c>
      <c r="J5" s="11" t="n">
        <v>81000</v>
      </c>
      <c r="K5" s="11" t="n">
        <v>87200</v>
      </c>
    </row>
    <row r="6">
      <c r="A6" s="15" t="inlineStr">
        <is>
          <t>Cost of sales</t>
        </is>
      </c>
      <c r="B6" s="9" t="n">
        <v>8505</v>
      </c>
      <c r="C6" s="9" t="n">
        <v>11550</v>
      </c>
      <c r="D6" s="9" t="n">
        <v>11278</v>
      </c>
      <c r="E6" s="9" t="n">
        <v>12114</v>
      </c>
      <c r="F6" s="9" t="n">
        <v>16456</v>
      </c>
      <c r="G6" s="10" t="n">
        <v>20100</v>
      </c>
      <c r="H6" s="10" t="n">
        <v>26200</v>
      </c>
      <c r="I6" s="10" t="n">
        <v>31700</v>
      </c>
      <c r="J6" s="10" t="n">
        <v>35300</v>
      </c>
      <c r="K6" s="10" t="n">
        <v>37500</v>
      </c>
    </row>
    <row r="7">
      <c r="A7" s="15" t="inlineStr">
        <is>
          <t>Amortization of acquisition-related intangibles (COGS)</t>
        </is>
      </c>
      <c r="B7" s="9" t="n">
        <v>0</v>
      </c>
      <c r="C7" s="9" t="n">
        <v>1448</v>
      </c>
      <c r="D7" s="9" t="n">
        <v>942</v>
      </c>
      <c r="E7" s="9" t="n">
        <v>946</v>
      </c>
      <c r="F7" s="9" t="n">
        <v>1031</v>
      </c>
      <c r="G7" s="10" t="n">
        <v>800</v>
      </c>
      <c r="H7" s="10" t="n">
        <v>600</v>
      </c>
      <c r="I7" s="10" t="n">
        <v>400</v>
      </c>
      <c r="J7" s="10" t="n">
        <v>200</v>
      </c>
      <c r="K7" s="10" t="n">
        <v>100</v>
      </c>
    </row>
    <row r="8">
      <c r="A8" s="3" t="inlineStr">
        <is>
          <t>Total cost of sales</t>
        </is>
      </c>
      <c r="B8" s="11" t="n">
        <v>8505</v>
      </c>
      <c r="C8" s="11" t="n">
        <v>12998</v>
      </c>
      <c r="D8" s="11" t="n">
        <v>12220</v>
      </c>
      <c r="E8" s="11" t="n">
        <v>13060</v>
      </c>
      <c r="F8" s="11" t="n">
        <v>17487</v>
      </c>
      <c r="G8" s="11" t="n">
        <v>20900</v>
      </c>
      <c r="H8" s="11" t="n">
        <v>26800</v>
      </c>
      <c r="I8" s="11" t="n">
        <v>32100</v>
      </c>
      <c r="J8" s="11" t="n">
        <v>35500</v>
      </c>
      <c r="K8" s="11" t="n">
        <v>37600</v>
      </c>
    </row>
    <row r="9">
      <c r="A9" s="3" t="inlineStr">
        <is>
          <t>Gross profit</t>
        </is>
      </c>
      <c r="B9" s="11" t="n">
        <v>7929</v>
      </c>
      <c r="C9" s="11" t="n">
        <v>10603</v>
      </c>
      <c r="D9" s="11" t="n">
        <v>10460</v>
      </c>
      <c r="E9" s="11" t="n">
        <v>12725</v>
      </c>
      <c r="F9" s="11" t="n">
        <v>17152</v>
      </c>
      <c r="G9" s="11" t="n">
        <v>22900</v>
      </c>
      <c r="H9" s="11" t="n">
        <v>31600</v>
      </c>
      <c r="I9" s="11" t="n">
        <v>40000</v>
      </c>
      <c r="J9" s="11" t="n">
        <v>45500</v>
      </c>
      <c r="K9" s="11" t="n">
        <v>49600</v>
      </c>
    </row>
    <row r="10">
      <c r="A10" s="3" t="inlineStr">
        <is>
          <t>Gross margin</t>
        </is>
      </c>
      <c r="B10" s="13" t="n">
        <v>0.482</v>
      </c>
      <c r="C10" s="13" t="n">
        <v>0.449</v>
      </c>
      <c r="D10" s="13" t="n">
        <v>0.461</v>
      </c>
      <c r="E10" s="13" t="n">
        <v>0.493</v>
      </c>
      <c r="F10" s="13" t="n">
        <v>0.495</v>
      </c>
      <c r="G10" s="14" t="n">
        <v>0.523</v>
      </c>
      <c r="H10" s="14" t="n">
        <v>0.541</v>
      </c>
      <c r="I10" s="14" t="n">
        <v>0.555</v>
      </c>
      <c r="J10" s="14" t="n">
        <v>0.5620000000000001</v>
      </c>
      <c r="K10" s="14" t="n">
        <v>0.569</v>
      </c>
    </row>
    <row r="11">
      <c r="A11" s="15" t="inlineStr">
        <is>
          <t>Research and development</t>
        </is>
      </c>
      <c r="B11" s="9" t="n">
        <v>2845</v>
      </c>
      <c r="C11" s="9" t="n">
        <v>5005</v>
      </c>
      <c r="D11" s="9" t="n">
        <v>5872</v>
      </c>
      <c r="E11" s="9" t="n">
        <v>6456</v>
      </c>
      <c r="F11" s="9" t="n">
        <v>8091</v>
      </c>
      <c r="G11" s="10" t="n">
        <v>9700</v>
      </c>
      <c r="H11" s="10" t="n">
        <v>11700</v>
      </c>
      <c r="I11" s="10" t="n">
        <v>13700</v>
      </c>
      <c r="J11" s="10" t="n">
        <v>14500</v>
      </c>
      <c r="K11" s="10" t="n">
        <v>15200</v>
      </c>
    </row>
    <row r="12">
      <c r="A12" s="3" t="inlineStr">
        <is>
          <t>R&amp;D % of revenue</t>
        </is>
      </c>
      <c r="B12" s="13" t="n">
        <v>0.173</v>
      </c>
      <c r="C12" s="13" t="n">
        <v>0.212</v>
      </c>
      <c r="D12" s="13" t="n">
        <v>0.259</v>
      </c>
      <c r="E12" s="13" t="n">
        <v>0.25</v>
      </c>
      <c r="F12" s="13" t="n">
        <v>0.234</v>
      </c>
      <c r="G12" s="14" t="n">
        <v>0.221</v>
      </c>
      <c r="H12" s="14" t="n">
        <v>0.2</v>
      </c>
      <c r="I12" s="14" t="n">
        <v>0.19</v>
      </c>
      <c r="J12" s="14" t="n">
        <v>0.179</v>
      </c>
      <c r="K12" s="14" t="n">
        <v>0.174</v>
      </c>
    </row>
    <row r="13">
      <c r="A13" s="15" t="inlineStr">
        <is>
          <t>Marketing, general &amp; administrative</t>
        </is>
      </c>
      <c r="B13" s="9" t="n">
        <v>1448</v>
      </c>
      <c r="C13" s="9" t="n">
        <v>2336</v>
      </c>
      <c r="D13" s="9" t="n">
        <v>2352</v>
      </c>
      <c r="E13" s="9" t="n">
        <v>2783</v>
      </c>
      <c r="F13" s="9" t="n">
        <v>4144</v>
      </c>
      <c r="G13" s="10" t="n">
        <v>4400</v>
      </c>
      <c r="H13" s="10" t="n">
        <v>4900</v>
      </c>
      <c r="I13" s="10" t="n">
        <v>5300</v>
      </c>
      <c r="J13" s="10" t="n">
        <v>5500</v>
      </c>
      <c r="K13" s="10" t="n">
        <v>5700</v>
      </c>
    </row>
    <row r="14">
      <c r="A14" s="3" t="inlineStr">
        <is>
          <t>MG&amp;A % of revenue</t>
        </is>
      </c>
      <c r="B14" s="13" t="n">
        <v>0.08799999999999999</v>
      </c>
      <c r="C14" s="13" t="n">
        <v>0.099</v>
      </c>
      <c r="D14" s="13" t="n">
        <v>0.104</v>
      </c>
      <c r="E14" s="13" t="n">
        <v>0.108</v>
      </c>
      <c r="F14" s="13" t="n">
        <v>0.12</v>
      </c>
      <c r="G14" s="14" t="n">
        <v>0.1</v>
      </c>
      <c r="H14" s="14" t="n">
        <v>0.08400000000000001</v>
      </c>
      <c r="I14" s="14" t="n">
        <v>0.073</v>
      </c>
      <c r="J14" s="14" t="n">
        <v>0.068</v>
      </c>
      <c r="K14" s="14" t="n">
        <v>0.065</v>
      </c>
    </row>
    <row r="15">
      <c r="A15" s="15" t="inlineStr">
        <is>
          <t>Amortization of acquisition-related intangibles (OpEx)</t>
        </is>
      </c>
      <c r="B15" s="9" t="n">
        <v>12</v>
      </c>
      <c r="C15" s="9" t="n">
        <v>2100</v>
      </c>
      <c r="D15" s="9" t="n">
        <v>1869</v>
      </c>
      <c r="E15" s="9" t="n">
        <v>1448</v>
      </c>
      <c r="F15" s="9" t="n">
        <v>1223</v>
      </c>
      <c r="G15" s="10" t="n">
        <v>800</v>
      </c>
      <c r="H15" s="10" t="n">
        <v>500</v>
      </c>
      <c r="I15" s="10" t="n">
        <v>200</v>
      </c>
      <c r="J15" s="10" t="n">
        <v>100</v>
      </c>
      <c r="K15" s="10" t="n">
        <v>0</v>
      </c>
    </row>
    <row r="16">
      <c r="A16" s="15" t="inlineStr">
        <is>
          <t>Restructuring charges</t>
        </is>
      </c>
      <c r="B16" s="9" t="n">
        <v>0</v>
      </c>
      <c r="C16" s="9" t="n">
        <v>0</v>
      </c>
      <c r="D16" s="9" t="n">
        <v>0</v>
      </c>
      <c r="E16" s="9" t="n">
        <v>186</v>
      </c>
      <c r="F16" s="9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</row>
    <row r="17">
      <c r="A17" s="15" t="inlineStr">
        <is>
          <t>Licensing gain</t>
        </is>
      </c>
      <c r="B17" s="9" t="n">
        <v>-12</v>
      </c>
      <c r="C17" s="9" t="n">
        <v>-102</v>
      </c>
      <c r="D17" s="9" t="n">
        <v>-34</v>
      </c>
      <c r="E17" s="9" t="n">
        <v>-48</v>
      </c>
      <c r="F17" s="9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</row>
    <row r="18">
      <c r="A18" s="3" t="inlineStr">
        <is>
          <t>Total operating expenses</t>
        </is>
      </c>
      <c r="B18" s="11" t="n">
        <v>4293</v>
      </c>
      <c r="C18" s="11" t="n">
        <v>9339</v>
      </c>
      <c r="D18" s="11" t="n">
        <v>10059</v>
      </c>
      <c r="E18" s="11" t="n">
        <v>10825</v>
      </c>
      <c r="F18" s="11" t="n">
        <v>13458</v>
      </c>
      <c r="G18" s="11" t="n">
        <v>14900</v>
      </c>
      <c r="H18" s="11" t="n">
        <v>17100</v>
      </c>
      <c r="I18" s="11" t="n">
        <v>19200</v>
      </c>
      <c r="J18" s="11" t="n">
        <v>20100</v>
      </c>
      <c r="K18" s="11" t="n">
        <v>20900</v>
      </c>
    </row>
    <row r="19">
      <c r="A19" s="3" t="inlineStr">
        <is>
          <t>Operating income (GAAP)</t>
        </is>
      </c>
      <c r="B19" s="11" t="n">
        <v>3648</v>
      </c>
      <c r="C19" s="11" t="n">
        <v>1264</v>
      </c>
      <c r="D19" s="11" t="n">
        <v>401</v>
      </c>
      <c r="E19" s="11" t="n">
        <v>1900</v>
      </c>
      <c r="F19" s="11" t="n">
        <v>3694</v>
      </c>
      <c r="G19" s="11" t="n">
        <v>8000</v>
      </c>
      <c r="H19" s="11" t="n">
        <v>14500</v>
      </c>
      <c r="I19" s="11" t="n">
        <v>20800</v>
      </c>
      <c r="J19" s="11" t="n">
        <v>25400</v>
      </c>
      <c r="K19" s="11" t="n">
        <v>28700</v>
      </c>
    </row>
    <row r="20">
      <c r="A20" s="3" t="inlineStr">
        <is>
          <t>Operating margin (GAAP)</t>
        </is>
      </c>
      <c r="B20" s="13" t="n">
        <v>0.222</v>
      </c>
      <c r="C20" s="13" t="n">
        <v>0.054</v>
      </c>
      <c r="D20" s="13" t="n">
        <v>0.018</v>
      </c>
      <c r="E20" s="13" t="n">
        <v>0.074</v>
      </c>
      <c r="F20" s="13" t="n">
        <v>0.107</v>
      </c>
      <c r="G20" s="14" t="n">
        <v>0.183</v>
      </c>
      <c r="H20" s="14" t="n">
        <v>0.248</v>
      </c>
      <c r="I20" s="14" t="n">
        <v>0.288</v>
      </c>
      <c r="J20" s="14" t="n">
        <v>0.314</v>
      </c>
      <c r="K20" s="14" t="n">
        <v>0.329</v>
      </c>
    </row>
    <row r="21">
      <c r="A21" s="15" t="inlineStr">
        <is>
          <t>Interest expense</t>
        </is>
      </c>
      <c r="B21" s="9" t="n">
        <v>-34</v>
      </c>
      <c r="C21" s="9" t="n">
        <v>-88</v>
      </c>
      <c r="D21" s="9" t="n">
        <v>-106</v>
      </c>
      <c r="E21" s="9" t="n">
        <v>-92</v>
      </c>
      <c r="F21" s="9" t="n">
        <v>-131</v>
      </c>
      <c r="G21" s="10" t="n">
        <v>-150</v>
      </c>
      <c r="H21" s="10" t="n">
        <v>-160</v>
      </c>
      <c r="I21" s="10" t="n">
        <v>-170</v>
      </c>
      <c r="J21" s="10" t="n">
        <v>-170</v>
      </c>
      <c r="K21" s="10" t="n">
        <v>-170</v>
      </c>
    </row>
    <row r="22">
      <c r="A22" s="15" t="inlineStr">
        <is>
          <t>Other income (expense), net</t>
        </is>
      </c>
      <c r="B22" s="9" t="n">
        <v>55</v>
      </c>
      <c r="C22" s="9" t="n">
        <v>8</v>
      </c>
      <c r="D22" s="9" t="n">
        <v>197</v>
      </c>
      <c r="E22" s="9" t="n">
        <v>181</v>
      </c>
      <c r="F22" s="9" t="n">
        <v>577</v>
      </c>
      <c r="G22" s="10" t="n">
        <v>200</v>
      </c>
      <c r="H22" s="10" t="n">
        <v>250</v>
      </c>
      <c r="I22" s="10" t="n">
        <v>280</v>
      </c>
      <c r="J22" s="10" t="n">
        <v>300</v>
      </c>
      <c r="K22" s="10" t="n">
        <v>300</v>
      </c>
    </row>
    <row r="23">
      <c r="A23" s="15" t="inlineStr">
        <is>
          <t>Income before income taxes</t>
        </is>
      </c>
      <c r="B23" s="9" t="n">
        <v>3669</v>
      </c>
      <c r="C23" s="9" t="n">
        <v>1184</v>
      </c>
      <c r="D23" s="9" t="n">
        <v>492</v>
      </c>
      <c r="E23" s="9" t="n">
        <v>1989</v>
      </c>
      <c r="F23" s="9" t="n">
        <v>4140</v>
      </c>
      <c r="G23" s="10" t="n">
        <v>8050</v>
      </c>
      <c r="H23" s="10" t="n">
        <v>14590</v>
      </c>
      <c r="I23" s="10" t="n">
        <v>20910</v>
      </c>
      <c r="J23" s="10" t="n">
        <v>25530</v>
      </c>
      <c r="K23" s="10" t="n">
        <v>28830</v>
      </c>
    </row>
    <row r="24">
      <c r="A24" s="15" t="inlineStr">
        <is>
          <t>Income tax provision (benefit)</t>
        </is>
      </c>
      <c r="B24" s="9" t="n">
        <v>513</v>
      </c>
      <c r="C24" s="9" t="n">
        <v>-122</v>
      </c>
      <c r="D24" s="9" t="n">
        <v>-346</v>
      </c>
      <c r="E24" s="9" t="n">
        <v>381</v>
      </c>
      <c r="F24" s="9" t="n">
        <v>-103</v>
      </c>
      <c r="G24" s="10" t="n">
        <v>800</v>
      </c>
      <c r="H24" s="10" t="n">
        <v>2200</v>
      </c>
      <c r="I24" s="10" t="n">
        <v>3500</v>
      </c>
      <c r="J24" s="10" t="n">
        <v>4400</v>
      </c>
      <c r="K24" s="10" t="n">
        <v>5000</v>
      </c>
    </row>
    <row r="25">
      <c r="A25" s="15" t="inlineStr">
        <is>
          <t>Equity income in investee</t>
        </is>
      </c>
      <c r="B25" s="9" t="n">
        <v>0</v>
      </c>
      <c r="C25" s="9" t="n">
        <v>14</v>
      </c>
      <c r="D25" s="9" t="n">
        <v>16</v>
      </c>
      <c r="E25" s="9" t="n">
        <v>33</v>
      </c>
      <c r="F25" s="9" t="n">
        <v>32</v>
      </c>
      <c r="G25" s="10" t="n">
        <v>30</v>
      </c>
      <c r="H25" s="10" t="n">
        <v>30</v>
      </c>
      <c r="I25" s="10" t="n">
        <v>30</v>
      </c>
      <c r="J25" s="10" t="n">
        <v>30</v>
      </c>
      <c r="K25" s="10" t="n">
        <v>30</v>
      </c>
    </row>
    <row r="26">
      <c r="A26" s="3" t="inlineStr">
        <is>
          <t>Net income from continuing operations</t>
        </is>
      </c>
      <c r="B26" s="11" t="n">
        <v>3156</v>
      </c>
      <c r="C26" s="11" t="n">
        <v>1320</v>
      </c>
      <c r="D26" s="11" t="n">
        <v>854</v>
      </c>
      <c r="E26" s="11" t="n">
        <v>1641</v>
      </c>
      <c r="F26" s="11" t="n">
        <v>4269</v>
      </c>
      <c r="G26" s="11" t="n">
        <v>7280</v>
      </c>
      <c r="H26" s="11" t="n">
        <v>12420</v>
      </c>
      <c r="I26" s="11" t="n">
        <v>17440</v>
      </c>
      <c r="J26" s="11" t="n">
        <v>21160</v>
      </c>
      <c r="K26" s="11" t="n">
        <v>23860</v>
      </c>
    </row>
    <row r="27">
      <c r="A27" s="15" t="inlineStr">
        <is>
          <t>Net income from discontinued operations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66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</row>
    <row r="28">
      <c r="A28" s="3" t="inlineStr">
        <is>
          <t>Net income (GAAP)</t>
        </is>
      </c>
      <c r="B28" s="11" t="n">
        <v>3156</v>
      </c>
      <c r="C28" s="11" t="n">
        <v>1320</v>
      </c>
      <c r="D28" s="11" t="n">
        <v>854</v>
      </c>
      <c r="E28" s="11" t="n">
        <v>1641</v>
      </c>
      <c r="F28" s="11" t="n">
        <v>4335</v>
      </c>
      <c r="G28" s="11" t="n">
        <v>7280</v>
      </c>
      <c r="H28" s="11" t="n">
        <v>12420</v>
      </c>
      <c r="I28" s="11" t="n">
        <v>17440</v>
      </c>
      <c r="J28" s="11" t="n">
        <v>21160</v>
      </c>
      <c r="K28" s="11" t="n">
        <v>23860</v>
      </c>
    </row>
    <row r="29">
      <c r="A29" s="3" t="inlineStr">
        <is>
          <t>Net margin</t>
        </is>
      </c>
      <c r="B29" s="13" t="n">
        <v>0.192</v>
      </c>
      <c r="C29" s="13" t="n">
        <v>0.056</v>
      </c>
      <c r="D29" s="13" t="n">
        <v>0.038</v>
      </c>
      <c r="E29" s="13" t="n">
        <v>0.064</v>
      </c>
      <c r="F29" s="13" t="n">
        <v>0.125</v>
      </c>
      <c r="G29" s="14" t="n">
        <v>0.166</v>
      </c>
      <c r="H29" s="14" t="n">
        <v>0.213</v>
      </c>
      <c r="I29" s="14" t="n">
        <v>0.242</v>
      </c>
      <c r="J29" s="14" t="n">
        <v>0.261</v>
      </c>
      <c r="K29" s="14" t="n">
        <v>0.274</v>
      </c>
    </row>
    <row r="30">
      <c r="A30" s="3" t="inlineStr">
        <is>
          <t>EPS — basic (USD)</t>
        </is>
      </c>
      <c r="B30" s="16" t="n">
        <v>2.61</v>
      </c>
      <c r="C30" s="16" t="n">
        <v>0.85</v>
      </c>
      <c r="D30" s="16" t="n">
        <v>0.53</v>
      </c>
      <c r="E30" s="16" t="n">
        <v>1.01</v>
      </c>
      <c r="F30" s="16" t="n">
        <v>2.67</v>
      </c>
      <c r="G30" s="17" t="n">
        <v>4.43</v>
      </c>
      <c r="H30" s="17" t="n">
        <v>7.5</v>
      </c>
      <c r="I30" s="17" t="n">
        <v>10.45</v>
      </c>
      <c r="J30" s="17" t="n">
        <v>12.6</v>
      </c>
      <c r="K30" s="17" t="n">
        <v>14.1</v>
      </c>
    </row>
    <row r="31">
      <c r="A31" s="3" t="inlineStr">
        <is>
          <t>EPS — diluted (USD)</t>
        </is>
      </c>
      <c r="B31" s="16" t="n">
        <v>2.57</v>
      </c>
      <c r="C31" s="16" t="n">
        <v>0.84</v>
      </c>
      <c r="D31" s="16" t="n">
        <v>0.53</v>
      </c>
      <c r="E31" s="16" t="n">
        <v>1</v>
      </c>
      <c r="F31" s="16" t="n">
        <v>2.65</v>
      </c>
      <c r="G31" s="17" t="n">
        <v>4.4</v>
      </c>
      <c r="H31" s="17" t="n">
        <v>7.4</v>
      </c>
      <c r="I31" s="17" t="n">
        <v>10.3</v>
      </c>
      <c r="J31" s="17" t="n">
        <v>12.4</v>
      </c>
      <c r="K31" s="17" t="n">
        <v>13.9</v>
      </c>
    </row>
    <row r="32">
      <c r="A32" s="15" t="inlineStr">
        <is>
          <t>Basic shares outstanding (M)</t>
        </is>
      </c>
      <c r="B32" s="9" t="n">
        <v>1213</v>
      </c>
      <c r="C32" s="9" t="n">
        <v>1561</v>
      </c>
      <c r="D32" s="9" t="n">
        <v>1614</v>
      </c>
      <c r="E32" s="9" t="n">
        <v>1620</v>
      </c>
      <c r="F32" s="9" t="n">
        <v>1623</v>
      </c>
      <c r="G32" s="10" t="n">
        <v>1645</v>
      </c>
      <c r="H32" s="10" t="n">
        <v>1655</v>
      </c>
      <c r="I32" s="10" t="n">
        <v>1670</v>
      </c>
      <c r="J32" s="10" t="n">
        <v>1680</v>
      </c>
      <c r="K32" s="10" t="n">
        <v>1693</v>
      </c>
    </row>
    <row r="33">
      <c r="A33" s="15" t="inlineStr">
        <is>
          <t>Diluted shares outstanding (M)</t>
        </is>
      </c>
      <c r="B33" s="9" t="n">
        <v>1229</v>
      </c>
      <c r="C33" s="9" t="n">
        <v>1571</v>
      </c>
      <c r="D33" s="9" t="n">
        <v>1625</v>
      </c>
      <c r="E33" s="9" t="n">
        <v>1637</v>
      </c>
      <c r="F33" s="9" t="n">
        <v>1635</v>
      </c>
      <c r="G33" s="10" t="n">
        <v>1655</v>
      </c>
      <c r="H33" s="10" t="n">
        <v>1678</v>
      </c>
      <c r="I33" s="10" t="n">
        <v>1693</v>
      </c>
      <c r="J33" s="10" t="n">
        <v>1706</v>
      </c>
      <c r="K33" s="10" t="n">
        <v>1716</v>
      </c>
    </row>
    <row r="36" ht="22" customHeight="1">
      <c r="A36" s="5" t="inlineStr">
        <is>
          <t>Non-GAAP Reconciliation</t>
        </is>
      </c>
    </row>
    <row r="37">
      <c r="B37" s="6" t="inlineStr">
        <is>
          <t>FY2021A</t>
        </is>
      </c>
      <c r="C37" s="6" t="inlineStr">
        <is>
          <t>FY2022A</t>
        </is>
      </c>
      <c r="D37" s="6" t="inlineStr">
        <is>
          <t>FY2023A</t>
        </is>
      </c>
      <c r="E37" s="6" t="inlineStr">
        <is>
          <t>FY2024A</t>
        </is>
      </c>
      <c r="F37" s="6" t="inlineStr">
        <is>
          <t>FY2025A</t>
        </is>
      </c>
      <c r="G37" s="7" t="inlineStr">
        <is>
          <t>FY2026E</t>
        </is>
      </c>
      <c r="H37" s="7" t="inlineStr">
        <is>
          <t>FY2027E</t>
        </is>
      </c>
      <c r="I37" s="7" t="inlineStr">
        <is>
          <t>FY2028E</t>
        </is>
      </c>
      <c r="J37" s="7" t="inlineStr">
        <is>
          <t>FY2029E</t>
        </is>
      </c>
      <c r="K37" s="7" t="inlineStr">
        <is>
          <t>FY2030E</t>
        </is>
      </c>
    </row>
    <row r="38">
      <c r="A38" s="15" t="inlineStr">
        <is>
          <t>Net income (GAAP)</t>
        </is>
      </c>
      <c r="B38" s="9" t="n">
        <v>3156</v>
      </c>
      <c r="C38" s="9" t="n">
        <v>1320</v>
      </c>
      <c r="D38" s="9" t="n">
        <v>854</v>
      </c>
      <c r="E38" s="9" t="n">
        <v>1641</v>
      </c>
      <c r="F38" s="9" t="n">
        <v>4335</v>
      </c>
      <c r="G38" s="10" t="n">
        <v>7280</v>
      </c>
      <c r="H38" s="10" t="n">
        <v>12420</v>
      </c>
      <c r="I38" s="10" t="n">
        <v>17440</v>
      </c>
      <c r="J38" s="10" t="n">
        <v>21160</v>
      </c>
      <c r="K38" s="10" t="n">
        <v>23860</v>
      </c>
    </row>
    <row r="39">
      <c r="A39" s="15" t="inlineStr">
        <is>
          <t>+ Amort. of acq.-related intangibles</t>
        </is>
      </c>
      <c r="B39" s="9" t="n">
        <v>12</v>
      </c>
      <c r="C39" s="9" t="n">
        <v>3548</v>
      </c>
      <c r="D39" s="9" t="n">
        <v>2811</v>
      </c>
      <c r="E39" s="9" t="n">
        <v>2394</v>
      </c>
      <c r="F39" s="9" t="n">
        <v>2254</v>
      </c>
      <c r="G39" s="10" t="n">
        <v>1600</v>
      </c>
      <c r="H39" s="10" t="n">
        <v>1100</v>
      </c>
      <c r="I39" s="10" t="n">
        <v>600</v>
      </c>
      <c r="J39" s="10" t="n">
        <v>300</v>
      </c>
      <c r="K39" s="10" t="n">
        <v>100</v>
      </c>
    </row>
    <row r="40">
      <c r="A40" s="15" t="inlineStr">
        <is>
          <t>+ Stock-based compensation</t>
        </is>
      </c>
      <c r="B40" s="9" t="n">
        <v>379</v>
      </c>
      <c r="C40" s="9" t="n">
        <v>1080</v>
      </c>
      <c r="D40" s="9" t="n">
        <v>1384</v>
      </c>
      <c r="E40" s="9" t="n">
        <v>1407</v>
      </c>
      <c r="F40" s="9" t="n">
        <v>1638</v>
      </c>
      <c r="G40" s="10" t="n">
        <v>1900</v>
      </c>
      <c r="H40" s="10" t="n">
        <v>2200</v>
      </c>
      <c r="I40" s="10" t="n">
        <v>2400</v>
      </c>
      <c r="J40" s="10" t="n">
        <v>2500</v>
      </c>
      <c r="K40" s="10" t="n">
        <v>2600</v>
      </c>
    </row>
    <row r="41">
      <c r="A41" s="15" t="inlineStr">
        <is>
          <t>+ Acquisition / restructuring / other</t>
        </is>
      </c>
      <c r="B41" s="9" t="n">
        <v>0</v>
      </c>
      <c r="C41" s="9" t="n">
        <v>365</v>
      </c>
      <c r="D41" s="9" t="n">
        <v>219</v>
      </c>
      <c r="E41" s="9" t="n">
        <v>322</v>
      </c>
      <c r="F41" s="9" t="n">
        <v>200</v>
      </c>
      <c r="G41" s="10" t="n">
        <v>200</v>
      </c>
      <c r="H41" s="10" t="n">
        <v>100</v>
      </c>
      <c r="I41" s="10" t="n">
        <v>100</v>
      </c>
      <c r="J41" s="10" t="n">
        <v>100</v>
      </c>
      <c r="K41" s="10" t="n">
        <v>100</v>
      </c>
    </row>
    <row r="42">
      <c r="A42" s="15" t="inlineStr">
        <is>
          <t>- Tax effect of adjustments</t>
        </is>
      </c>
      <c r="B42" s="9" t="n">
        <v>-37</v>
      </c>
      <c r="C42" s="9" t="n">
        <v>-700</v>
      </c>
      <c r="D42" s="9" t="n">
        <v>-550</v>
      </c>
      <c r="E42" s="9" t="n">
        <v>-550</v>
      </c>
      <c r="F42" s="9" t="n">
        <v>-650</v>
      </c>
      <c r="G42" s="10" t="n">
        <v>-700</v>
      </c>
      <c r="H42" s="10" t="n">
        <v>-650</v>
      </c>
      <c r="I42" s="10" t="n">
        <v>-550</v>
      </c>
      <c r="J42" s="10" t="n">
        <v>-450</v>
      </c>
      <c r="K42" s="10" t="n">
        <v>-400</v>
      </c>
    </row>
    <row r="43">
      <c r="A43" s="3" t="inlineStr">
        <is>
          <t>Non-GAAP net income</t>
        </is>
      </c>
      <c r="B43" s="11" t="n">
        <v>3510</v>
      </c>
      <c r="C43" s="11" t="n">
        <v>5613</v>
      </c>
      <c r="D43" s="11" t="n">
        <v>4718</v>
      </c>
      <c r="E43" s="11" t="n">
        <v>5214</v>
      </c>
      <c r="F43" s="11" t="n">
        <v>7777</v>
      </c>
      <c r="G43" s="11" t="n">
        <v>10280</v>
      </c>
      <c r="H43" s="11" t="n">
        <v>15170</v>
      </c>
      <c r="I43" s="11" t="n">
        <v>19990</v>
      </c>
      <c r="J43" s="11" t="n">
        <v>23610</v>
      </c>
      <c r="K43" s="11" t="n">
        <v>26260</v>
      </c>
    </row>
    <row r="44">
      <c r="A44" s="3" t="inlineStr">
        <is>
          <t>Non-GAAP EPS (diluted)</t>
        </is>
      </c>
      <c r="B44" s="16" t="n">
        <v>2.86</v>
      </c>
      <c r="C44" s="16" t="n">
        <v>3.5</v>
      </c>
      <c r="D44" s="16" t="n">
        <v>2.85</v>
      </c>
      <c r="E44" s="16" t="n">
        <v>3.19</v>
      </c>
      <c r="F44" s="16" t="n">
        <v>4.85</v>
      </c>
      <c r="G44" s="17" t="n">
        <v>6.2</v>
      </c>
      <c r="H44" s="17" t="n">
        <v>9.050000000000001</v>
      </c>
      <c r="I44" s="17" t="n">
        <v>11.8</v>
      </c>
      <c r="J44" s="17" t="n">
        <v>13.85</v>
      </c>
      <c r="K44" s="17" t="n">
        <v>15.3</v>
      </c>
    </row>
    <row r="45">
      <c r="A45" s="3" t="inlineStr">
        <is>
          <t>Non-GAAP operating margin</t>
        </is>
      </c>
      <c r="B45" s="13" t="n">
        <v>0.25</v>
      </c>
      <c r="C45" s="13" t="n">
        <v>0.3</v>
      </c>
      <c r="D45" s="13" t="n">
        <v>0.23</v>
      </c>
      <c r="E45" s="13" t="n">
        <v>0.25</v>
      </c>
      <c r="F45" s="13" t="n">
        <v>0.26</v>
      </c>
      <c r="G45" s="14" t="n">
        <v>0.28</v>
      </c>
      <c r="H45" s="14" t="n">
        <v>0.32</v>
      </c>
      <c r="I45" s="14" t="n">
        <v>0.355</v>
      </c>
      <c r="J45" s="14" t="n">
        <v>0.385</v>
      </c>
      <c r="K45" s="14" t="n">
        <v>0.405</v>
      </c>
    </row>
  </sheetData>
  <mergeCells count="1">
    <mergeCell ref="A36:K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Consolidated Cash Flow Statement — Indirect method</t>
        </is>
      </c>
    </row>
    <row r="2">
      <c r="A2" s="4" t="inlineStr">
        <is>
          <t>Historical from 10-K. Projections by analyst.</t>
        </is>
      </c>
    </row>
    <row r="4"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</row>
    <row r="5">
      <c r="A5" s="8" t="inlineStr">
        <is>
          <t>CASH FROM OPERATING ACTIVITIES</t>
        </is>
      </c>
    </row>
    <row r="6">
      <c r="A6" s="15" t="inlineStr">
        <is>
          <t>Net income</t>
        </is>
      </c>
      <c r="B6" s="9" t="n">
        <v>3156</v>
      </c>
      <c r="C6" s="9" t="n">
        <v>1320</v>
      </c>
      <c r="D6" s="9" t="n">
        <v>854</v>
      </c>
      <c r="E6" s="9" t="n">
        <v>1641</v>
      </c>
      <c r="F6" s="9" t="n">
        <v>4335</v>
      </c>
      <c r="G6" s="10" t="n">
        <v>7280</v>
      </c>
      <c r="H6" s="10" t="n">
        <v>12420</v>
      </c>
      <c r="I6" s="10" t="n">
        <v>17440</v>
      </c>
      <c r="J6" s="10" t="n">
        <v>21160</v>
      </c>
      <c r="K6" s="10" t="n">
        <v>23860</v>
      </c>
    </row>
    <row r="7">
      <c r="A7" s="15" t="inlineStr">
        <is>
          <t>Depreciation &amp; amortization (D&amp;A)</t>
        </is>
      </c>
      <c r="B7" s="9" t="n">
        <v>407</v>
      </c>
      <c r="C7" s="9" t="n">
        <v>4174</v>
      </c>
      <c r="D7" s="9" t="n">
        <v>3453</v>
      </c>
      <c r="E7" s="9" t="n">
        <v>3064</v>
      </c>
      <c r="F7" s="9" t="n">
        <v>3004</v>
      </c>
      <c r="G7" s="10" t="n">
        <v>2700</v>
      </c>
      <c r="H7" s="10" t="n">
        <v>2400</v>
      </c>
      <c r="I7" s="10" t="n">
        <v>2200</v>
      </c>
      <c r="J7" s="10" t="n">
        <v>2100</v>
      </c>
      <c r="K7" s="10" t="n">
        <v>2000</v>
      </c>
    </row>
    <row r="8">
      <c r="A8" s="15" t="inlineStr">
        <is>
          <t>Stock-based compensation</t>
        </is>
      </c>
      <c r="B8" s="9" t="n">
        <v>379</v>
      </c>
      <c r="C8" s="9" t="n">
        <v>1080</v>
      </c>
      <c r="D8" s="9" t="n">
        <v>1384</v>
      </c>
      <c r="E8" s="9" t="n">
        <v>1407</v>
      </c>
      <c r="F8" s="9" t="n">
        <v>1638</v>
      </c>
      <c r="G8" s="10" t="n">
        <v>1900</v>
      </c>
      <c r="H8" s="10" t="n">
        <v>2200</v>
      </c>
      <c r="I8" s="10" t="n">
        <v>2400</v>
      </c>
      <c r="J8" s="10" t="n">
        <v>2500</v>
      </c>
      <c r="K8" s="10" t="n">
        <v>2600</v>
      </c>
    </row>
    <row r="9">
      <c r="A9" s="15" t="inlineStr">
        <is>
          <t>(Gains) losses on investments, net</t>
        </is>
      </c>
      <c r="B9" s="9" t="n">
        <v>0</v>
      </c>
      <c r="C9" s="9" t="n">
        <v>69</v>
      </c>
      <c r="D9" s="9" t="n">
        <v>-1</v>
      </c>
      <c r="E9" s="9" t="n">
        <v>0</v>
      </c>
      <c r="F9" s="9" t="n">
        <v>-341</v>
      </c>
      <c r="G9" s="10" t="n">
        <v>-200</v>
      </c>
      <c r="H9" s="10" t="n">
        <v>-100</v>
      </c>
      <c r="I9" s="10" t="n">
        <v>-100</v>
      </c>
      <c r="J9" s="10" t="n">
        <v>-100</v>
      </c>
      <c r="K9" s="10" t="n">
        <v>-100</v>
      </c>
    </row>
    <row r="10">
      <c r="A10" s="15" t="inlineStr">
        <is>
          <t>Deferred income taxes</t>
        </is>
      </c>
      <c r="B10" s="9" t="n">
        <v>-1267</v>
      </c>
      <c r="C10" s="9" t="n">
        <v>-1124</v>
      </c>
      <c r="D10" s="9" t="n">
        <v>-1019</v>
      </c>
      <c r="E10" s="9" t="n">
        <v>-1163</v>
      </c>
      <c r="F10" s="9" t="n">
        <v>248</v>
      </c>
      <c r="G10" s="10" t="n">
        <v>500</v>
      </c>
      <c r="H10" s="10" t="n">
        <v>600</v>
      </c>
      <c r="I10" s="10" t="n">
        <v>600</v>
      </c>
      <c r="J10" s="10" t="n">
        <v>500</v>
      </c>
      <c r="K10" s="10" t="n">
        <v>400</v>
      </c>
    </row>
    <row r="11">
      <c r="A11" s="15" t="inlineStr">
        <is>
          <t>Other non-cash items</t>
        </is>
      </c>
      <c r="B11" s="9" t="n">
        <v>-13</v>
      </c>
      <c r="C11" s="9" t="n">
        <v>75</v>
      </c>
      <c r="D11" s="9" t="n">
        <v>45</v>
      </c>
      <c r="E11" s="9" t="n">
        <v>190</v>
      </c>
      <c r="F11" s="9" t="n">
        <v>53</v>
      </c>
      <c r="G11" s="10" t="n">
        <v>100</v>
      </c>
      <c r="H11" s="10" t="n">
        <v>100</v>
      </c>
      <c r="I11" s="10" t="n">
        <v>100</v>
      </c>
      <c r="J11" s="10" t="n">
        <v>100</v>
      </c>
      <c r="K11" s="10" t="n">
        <v>100</v>
      </c>
    </row>
    <row r="12">
      <c r="A12" s="15" t="inlineStr">
        <is>
          <t>Changes in working capital — A/R</t>
        </is>
      </c>
      <c r="B12" s="9" t="n">
        <v>-501</v>
      </c>
      <c r="C12" s="9" t="n">
        <v>-1817</v>
      </c>
      <c r="D12" s="9" t="n">
        <v>-1339</v>
      </c>
      <c r="E12" s="9" t="n">
        <v>-1865</v>
      </c>
      <c r="F12" s="9" t="n">
        <v>-121</v>
      </c>
      <c r="G12" s="10" t="n">
        <v>-800</v>
      </c>
      <c r="H12" s="10" t="n">
        <v>-1300</v>
      </c>
      <c r="I12" s="10" t="n">
        <v>-1100</v>
      </c>
      <c r="J12" s="10" t="n">
        <v>-700</v>
      </c>
      <c r="K12" s="10" t="n">
        <v>-500</v>
      </c>
    </row>
    <row r="13">
      <c r="A13" s="15" t="inlineStr">
        <is>
          <t>Changes in working capital — Inventory</t>
        </is>
      </c>
      <c r="B13" s="9" t="n">
        <v>-218</v>
      </c>
      <c r="C13" s="9" t="n">
        <v>-1432</v>
      </c>
      <c r="D13" s="9" t="n">
        <v>-580</v>
      </c>
      <c r="E13" s="9" t="n">
        <v>-1458</v>
      </c>
      <c r="F13" s="9" t="n">
        <v>-2189</v>
      </c>
      <c r="G13" s="10" t="n">
        <v>-1500</v>
      </c>
      <c r="H13" s="10" t="n">
        <v>-2000</v>
      </c>
      <c r="I13" s="10" t="n">
        <v>-1500</v>
      </c>
      <c r="J13" s="10" t="n">
        <v>-800</v>
      </c>
      <c r="K13" s="10" t="n">
        <v>-500</v>
      </c>
    </row>
    <row r="14">
      <c r="A14" s="15" t="inlineStr">
        <is>
          <t>Changes in working capital — A/P</t>
        </is>
      </c>
      <c r="B14" s="9" t="n">
        <v>192</v>
      </c>
      <c r="C14" s="9" t="n">
        <v>322</v>
      </c>
      <c r="D14" s="9" t="n">
        <v>-519</v>
      </c>
      <c r="E14" s="9" t="n">
        <v>3</v>
      </c>
      <c r="F14" s="9" t="n">
        <v>410</v>
      </c>
      <c r="G14" s="10" t="n">
        <v>400</v>
      </c>
      <c r="H14" s="10" t="n">
        <v>600</v>
      </c>
      <c r="I14" s="10" t="n">
        <v>500</v>
      </c>
      <c r="J14" s="10" t="n">
        <v>300</v>
      </c>
      <c r="K14" s="10" t="n">
        <v>200</v>
      </c>
    </row>
    <row r="15">
      <c r="A15" s="15" t="inlineStr">
        <is>
          <t>Changes in working capital — Other</t>
        </is>
      </c>
      <c r="B15" s="9" t="n">
        <v>-225</v>
      </c>
      <c r="C15" s="9" t="n">
        <v>-91</v>
      </c>
      <c r="D15" s="9" t="n">
        <v>-611</v>
      </c>
      <c r="E15" s="9" t="n">
        <v>1222</v>
      </c>
      <c r="F15" s="9" t="n">
        <v>-478</v>
      </c>
      <c r="G15" s="10" t="n">
        <v>300</v>
      </c>
      <c r="H15" s="10" t="n">
        <v>400</v>
      </c>
      <c r="I15" s="10" t="n">
        <v>400</v>
      </c>
      <c r="J15" s="10" t="n">
        <v>300</v>
      </c>
      <c r="K15" s="10" t="n">
        <v>200</v>
      </c>
    </row>
    <row r="16">
      <c r="A16" s="3" t="inlineStr">
        <is>
          <t>Net cash from operating activities</t>
        </is>
      </c>
      <c r="B16" s="11" t="n">
        <v>3521</v>
      </c>
      <c r="C16" s="11" t="n">
        <v>3565</v>
      </c>
      <c r="D16" s="11" t="n">
        <v>1667</v>
      </c>
      <c r="E16" s="11" t="n">
        <v>3041</v>
      </c>
      <c r="F16" s="11" t="n">
        <v>7709</v>
      </c>
      <c r="G16" s="11" t="n">
        <v>10680</v>
      </c>
      <c r="H16" s="11" t="n">
        <v>15320</v>
      </c>
      <c r="I16" s="11" t="n">
        <v>20940</v>
      </c>
      <c r="J16" s="11" t="n">
        <v>25360</v>
      </c>
      <c r="K16" s="11" t="n">
        <v>28260</v>
      </c>
    </row>
    <row r="17">
      <c r="A17" s="8" t="inlineStr">
        <is>
          <t>CASH FROM INVESTING ACTIVITIES</t>
        </is>
      </c>
    </row>
    <row r="18">
      <c r="A18" s="15" t="inlineStr">
        <is>
          <t>Purchases of property and equipment</t>
        </is>
      </c>
      <c r="B18" s="9" t="n">
        <v>-301</v>
      </c>
      <c r="C18" s="9" t="n">
        <v>-450</v>
      </c>
      <c r="D18" s="9" t="n">
        <v>-546</v>
      </c>
      <c r="E18" s="9" t="n">
        <v>-636</v>
      </c>
      <c r="F18" s="9" t="n">
        <v>-1012</v>
      </c>
      <c r="G18" s="10" t="n">
        <v>-1500</v>
      </c>
      <c r="H18" s="10" t="n">
        <v>-2000</v>
      </c>
      <c r="I18" s="10" t="n">
        <v>-2200</v>
      </c>
      <c r="J18" s="10" t="n">
        <v>-2300</v>
      </c>
      <c r="K18" s="10" t="n">
        <v>-2400</v>
      </c>
    </row>
    <row r="19">
      <c r="A19" s="15" t="inlineStr">
        <is>
          <t>Acquisitions, net of cash acquired</t>
        </is>
      </c>
      <c r="B19" s="9" t="n">
        <v>0</v>
      </c>
      <c r="C19" s="9" t="n">
        <v>-1100</v>
      </c>
      <c r="D19" s="9" t="n">
        <v>-131</v>
      </c>
      <c r="E19" s="9" t="n">
        <v>-548</v>
      </c>
      <c r="F19" s="9" t="n">
        <v>-1760</v>
      </c>
      <c r="G19" s="10" t="n">
        <v>-300</v>
      </c>
      <c r="H19" s="10" t="n">
        <v>-200</v>
      </c>
      <c r="I19" s="10" t="n">
        <v>-200</v>
      </c>
      <c r="J19" s="10" t="n">
        <v>-200</v>
      </c>
      <c r="K19" s="10" t="n">
        <v>-200</v>
      </c>
    </row>
    <row r="20">
      <c r="A20" s="15" t="inlineStr">
        <is>
          <t>Purchases of investments</t>
        </is>
      </c>
      <c r="B20" s="9" t="n">
        <v>-2628</v>
      </c>
      <c r="C20" s="9" t="n">
        <v>-3531</v>
      </c>
      <c r="D20" s="9" t="n">
        <v>-3733</v>
      </c>
      <c r="E20" s="9" t="n">
        <v>-1834</v>
      </c>
      <c r="F20" s="9" t="n">
        <v>-5972</v>
      </c>
      <c r="G20" s="10" t="n">
        <v>-3000</v>
      </c>
      <c r="H20" s="10" t="n">
        <v>-3500</v>
      </c>
      <c r="I20" s="10" t="n">
        <v>-4000</v>
      </c>
      <c r="J20" s="10" t="n">
        <v>-4500</v>
      </c>
      <c r="K20" s="10" t="n">
        <v>-5000</v>
      </c>
    </row>
    <row r="21">
      <c r="A21" s="15" t="inlineStr">
        <is>
          <t>Sales/maturities of investments</t>
        </is>
      </c>
      <c r="B21" s="9" t="n">
        <v>2078</v>
      </c>
      <c r="C21" s="9" t="n">
        <v>4126</v>
      </c>
      <c r="D21" s="9" t="n">
        <v>2987</v>
      </c>
      <c r="E21" s="9" t="n">
        <v>2032</v>
      </c>
      <c r="F21" s="9" t="n">
        <v>1845</v>
      </c>
      <c r="G21" s="10" t="n">
        <v>2500</v>
      </c>
      <c r="H21" s="10" t="n">
        <v>3000</v>
      </c>
      <c r="I21" s="10" t="n">
        <v>3500</v>
      </c>
      <c r="J21" s="10" t="n">
        <v>4000</v>
      </c>
      <c r="K21" s="10" t="n">
        <v>4500</v>
      </c>
    </row>
    <row r="22">
      <c r="A22" s="15" t="inlineStr">
        <is>
          <t>Proceeds from divestiture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1356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</row>
    <row r="23">
      <c r="A23" s="15" t="inlineStr">
        <is>
          <t>Other investing</t>
        </is>
      </c>
      <c r="B23" s="9" t="n">
        <v>-9</v>
      </c>
      <c r="C23" s="9" t="n">
        <v>-7</v>
      </c>
      <c r="D23" s="9" t="n">
        <v>0</v>
      </c>
      <c r="E23" s="9" t="n">
        <v>2</v>
      </c>
      <c r="F23" s="9" t="n">
        <v>10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0</v>
      </c>
    </row>
    <row r="24">
      <c r="A24" s="3" t="inlineStr">
        <is>
          <t>Net cash used in investing activities</t>
        </is>
      </c>
      <c r="B24" s="11" t="n">
        <v>-860</v>
      </c>
      <c r="C24" s="11" t="n">
        <v>-962</v>
      </c>
      <c r="D24" s="11" t="n">
        <v>-1423</v>
      </c>
      <c r="E24" s="11" t="n">
        <v>-1101</v>
      </c>
      <c r="F24" s="11" t="n">
        <v>-5533</v>
      </c>
      <c r="G24" s="11" t="n">
        <v>-2300</v>
      </c>
      <c r="H24" s="11" t="n">
        <v>-2700</v>
      </c>
      <c r="I24" s="11" t="n">
        <v>-2900</v>
      </c>
      <c r="J24" s="11" t="n">
        <v>-3000</v>
      </c>
      <c r="K24" s="11" t="n">
        <v>-3100</v>
      </c>
    </row>
    <row r="25">
      <c r="A25" s="8" t="inlineStr">
        <is>
          <t>CASH FROM FINANCING ACTIVITIES</t>
        </is>
      </c>
    </row>
    <row r="26">
      <c r="A26" s="15" t="inlineStr">
        <is>
          <t>Proceeds from / (repayment of) debt, net</t>
        </is>
      </c>
      <c r="B26" s="9" t="n">
        <v>0</v>
      </c>
      <c r="C26" s="9" t="n">
        <v>2999</v>
      </c>
      <c r="D26" s="9" t="n">
        <v>0</v>
      </c>
      <c r="E26" s="9" t="n">
        <v>-750</v>
      </c>
      <c r="F26" s="9" t="n">
        <v>1491</v>
      </c>
      <c r="G26" s="10" t="n">
        <v>1000</v>
      </c>
      <c r="H26" s="10" t="n">
        <v>0</v>
      </c>
      <c r="I26" s="10" t="n">
        <v>0</v>
      </c>
      <c r="J26" s="10" t="n">
        <v>0</v>
      </c>
      <c r="K26" s="10" t="n">
        <v>0</v>
      </c>
    </row>
    <row r="27">
      <c r="A27" s="15" t="inlineStr">
        <is>
          <t>Employee stock plan proceeds</t>
        </is>
      </c>
      <c r="B27" s="9" t="n">
        <v>263</v>
      </c>
      <c r="C27" s="9" t="n">
        <v>273</v>
      </c>
      <c r="D27" s="9" t="n">
        <v>268</v>
      </c>
      <c r="E27" s="9" t="n">
        <v>279</v>
      </c>
      <c r="F27" s="9" t="n">
        <v>285</v>
      </c>
      <c r="G27" s="10" t="n">
        <v>300</v>
      </c>
      <c r="H27" s="10" t="n">
        <v>320</v>
      </c>
      <c r="I27" s="10" t="n">
        <v>340</v>
      </c>
      <c r="J27" s="10" t="n">
        <v>360</v>
      </c>
      <c r="K27" s="10" t="n">
        <v>380</v>
      </c>
    </row>
    <row r="28">
      <c r="A28" s="15" t="inlineStr">
        <is>
          <t>Repurchases of common stock</t>
        </is>
      </c>
      <c r="B28" s="9" t="n">
        <v>-1758</v>
      </c>
      <c r="C28" s="9" t="n">
        <v>-3700</v>
      </c>
      <c r="D28" s="9" t="n">
        <v>-985</v>
      </c>
      <c r="E28" s="9" t="n">
        <v>-862</v>
      </c>
      <c r="F28" s="9" t="n">
        <v>-1316</v>
      </c>
      <c r="G28" s="10" t="n">
        <v>-3000</v>
      </c>
      <c r="H28" s="10" t="n">
        <v>-5000</v>
      </c>
      <c r="I28" s="10" t="n">
        <v>-7000</v>
      </c>
      <c r="J28" s="10" t="n">
        <v>-8000</v>
      </c>
      <c r="K28" s="10" t="n">
        <v>-9000</v>
      </c>
    </row>
    <row r="29">
      <c r="A29" s="15" t="inlineStr">
        <is>
          <t>Tax-withholding repurchases</t>
        </is>
      </c>
      <c r="B29" s="9" t="n">
        <v>-89</v>
      </c>
      <c r="C29" s="9" t="n">
        <v>-394</v>
      </c>
      <c r="D29" s="9" t="n">
        <v>-427</v>
      </c>
      <c r="E29" s="9" t="n">
        <v>-728</v>
      </c>
      <c r="F29" s="9" t="n">
        <v>-607</v>
      </c>
      <c r="G29" s="10" t="n">
        <v>-650</v>
      </c>
      <c r="H29" s="10" t="n">
        <v>-700</v>
      </c>
      <c r="I29" s="10" t="n">
        <v>-750</v>
      </c>
      <c r="J29" s="10" t="n">
        <v>-800</v>
      </c>
      <c r="K29" s="10" t="n">
        <v>-850</v>
      </c>
    </row>
    <row r="30">
      <c r="A30" s="15" t="inlineStr">
        <is>
          <t>Settlement of contingent consideration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-284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</v>
      </c>
    </row>
    <row r="31">
      <c r="A31" s="15" t="inlineStr">
        <is>
          <t>Other financing</t>
        </is>
      </c>
      <c r="B31" s="9" t="n">
        <v>0</v>
      </c>
      <c r="C31" s="9" t="n">
        <v>0</v>
      </c>
      <c r="D31" s="9" t="n">
        <v>-2</v>
      </c>
      <c r="E31" s="9" t="n">
        <v>-1</v>
      </c>
      <c r="F31" s="9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n">
        <v>0</v>
      </c>
    </row>
    <row r="32">
      <c r="A32" s="3" t="inlineStr">
        <is>
          <t>Net cash from financing activities</t>
        </is>
      </c>
      <c r="B32" s="11" t="n">
        <v>-1584</v>
      </c>
      <c r="C32" s="11" t="n">
        <v>-822</v>
      </c>
      <c r="D32" s="11" t="n">
        <v>-1146</v>
      </c>
      <c r="E32" s="11" t="n">
        <v>-2062</v>
      </c>
      <c r="F32" s="11" t="n">
        <v>-431</v>
      </c>
      <c r="G32" s="11" t="n">
        <v>-2350</v>
      </c>
      <c r="H32" s="11" t="n">
        <v>-5380</v>
      </c>
      <c r="I32" s="11" t="n">
        <v>-7410</v>
      </c>
      <c r="J32" s="11" t="n">
        <v>-8440</v>
      </c>
      <c r="K32" s="11" t="n">
        <v>-9470</v>
      </c>
    </row>
    <row r="33">
      <c r="A33" s="3" t="inlineStr">
        <is>
          <t>Net change in cash</t>
        </is>
      </c>
      <c r="B33" s="11" t="n">
        <v>1077</v>
      </c>
      <c r="C33" s="11" t="n">
        <v>1781</v>
      </c>
      <c r="D33" s="11" t="n">
        <v>-902</v>
      </c>
      <c r="E33" s="11" t="n">
        <v>-122</v>
      </c>
      <c r="F33" s="11" t="n">
        <v>1745</v>
      </c>
      <c r="G33" s="11" t="n">
        <v>6030</v>
      </c>
      <c r="H33" s="11" t="n">
        <v>7240</v>
      </c>
      <c r="I33" s="11" t="n">
        <v>10630</v>
      </c>
      <c r="J33" s="11" t="n">
        <v>13920</v>
      </c>
      <c r="K33" s="11" t="n">
        <v>15690</v>
      </c>
    </row>
    <row r="34">
      <c r="A34" s="15" t="inlineStr">
        <is>
          <t>Cash at beginning of period</t>
        </is>
      </c>
      <c r="B34" s="9" t="n">
        <v>1466</v>
      </c>
      <c r="C34" s="9" t="n">
        <v>2543</v>
      </c>
      <c r="D34" s="9" t="n">
        <v>4324</v>
      </c>
      <c r="E34" s="9" t="n">
        <v>3422</v>
      </c>
      <c r="F34" s="9" t="n">
        <v>3300</v>
      </c>
      <c r="G34" s="10" t="n">
        <v>5045</v>
      </c>
      <c r="H34" s="10" t="n">
        <v>11075</v>
      </c>
      <c r="I34" s="10" t="n">
        <v>18315</v>
      </c>
      <c r="J34" s="10" t="n">
        <v>28945</v>
      </c>
      <c r="K34" s="10" t="n">
        <v>42865</v>
      </c>
    </row>
    <row r="35">
      <c r="A35" s="3" t="inlineStr">
        <is>
          <t>Cash at end of period</t>
        </is>
      </c>
      <c r="B35" s="11" t="n">
        <v>2543</v>
      </c>
      <c r="C35" s="11" t="n">
        <v>4324</v>
      </c>
      <c r="D35" s="11" t="n">
        <v>3422</v>
      </c>
      <c r="E35" s="11" t="n">
        <v>3300</v>
      </c>
      <c r="F35" s="11" t="n">
        <v>5045</v>
      </c>
      <c r="G35" s="11" t="n">
        <v>11075</v>
      </c>
      <c r="H35" s="11" t="n">
        <v>18315</v>
      </c>
      <c r="I35" s="11" t="n">
        <v>28945</v>
      </c>
      <c r="J35" s="11" t="n">
        <v>42865</v>
      </c>
      <c r="K35" s="11" t="n">
        <v>58555</v>
      </c>
    </row>
    <row r="36">
      <c r="A36" s="8" t="inlineStr">
        <is>
          <t>MEMO ITEMS</t>
        </is>
      </c>
    </row>
    <row r="37">
      <c r="A37" s="15" t="inlineStr">
        <is>
          <t>CapEx</t>
        </is>
      </c>
      <c r="B37" s="9" t="n">
        <v>301</v>
      </c>
      <c r="C37" s="9" t="n">
        <v>450</v>
      </c>
      <c r="D37" s="9" t="n">
        <v>546</v>
      </c>
      <c r="E37" s="9" t="n">
        <v>636</v>
      </c>
      <c r="F37" s="9" t="n">
        <v>1012</v>
      </c>
      <c r="G37" s="10" t="n">
        <v>1500</v>
      </c>
      <c r="H37" s="10" t="n">
        <v>2000</v>
      </c>
      <c r="I37" s="10" t="n">
        <v>2200</v>
      </c>
      <c r="J37" s="10" t="n">
        <v>2300</v>
      </c>
      <c r="K37" s="10" t="n">
        <v>2400</v>
      </c>
    </row>
    <row r="38">
      <c r="A38" s="3" t="inlineStr">
        <is>
          <t>Free Cash Flow (OCF - CapEx)</t>
        </is>
      </c>
      <c r="B38" s="11" t="n">
        <v>3220</v>
      </c>
      <c r="C38" s="11" t="n">
        <v>3115</v>
      </c>
      <c r="D38" s="11" t="n">
        <v>1121</v>
      </c>
      <c r="E38" s="11" t="n">
        <v>2405</v>
      </c>
      <c r="F38" s="11" t="n">
        <v>6697</v>
      </c>
      <c r="G38" s="11" t="n">
        <v>9180</v>
      </c>
      <c r="H38" s="11" t="n">
        <v>13320</v>
      </c>
      <c r="I38" s="11" t="n">
        <v>18740</v>
      </c>
      <c r="J38" s="11" t="n">
        <v>23060</v>
      </c>
      <c r="K38" s="11" t="n">
        <v>25860</v>
      </c>
    </row>
    <row r="39">
      <c r="A39" s="3" t="inlineStr">
        <is>
          <t>FCF margin</t>
        </is>
      </c>
      <c r="B39" s="13" t="n">
        <v>0.196</v>
      </c>
      <c r="C39" s="13" t="n">
        <v>0.132</v>
      </c>
      <c r="D39" s="13" t="n">
        <v>0.049</v>
      </c>
      <c r="E39" s="13" t="n">
        <v>0.093</v>
      </c>
      <c r="F39" s="13" t="n">
        <v>0.193</v>
      </c>
      <c r="G39" s="14" t="n">
        <v>0.21</v>
      </c>
      <c r="H39" s="14" t="n">
        <v>0.228</v>
      </c>
      <c r="I39" s="14" t="n">
        <v>0.26</v>
      </c>
      <c r="J39" s="14" t="n">
        <v>0.285</v>
      </c>
      <c r="K39" s="14" t="n">
        <v>0.297</v>
      </c>
    </row>
  </sheetData>
  <mergeCells count="4">
    <mergeCell ref="A5:K5"/>
    <mergeCell ref="A17:K17"/>
    <mergeCell ref="A25:K25"/>
    <mergeCell ref="A36:K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Consolidated Balance Sheet — At fiscal year-end</t>
        </is>
      </c>
    </row>
    <row r="2">
      <c r="A2" s="4" t="inlineStr">
        <is>
          <t>Historical from 10-K. Projections by analyst.</t>
        </is>
      </c>
    </row>
    <row r="4">
      <c r="B4" s="6" t="inlineStr">
        <is>
          <t>FY2021A</t>
        </is>
      </c>
      <c r="C4" s="6" t="inlineStr">
        <is>
          <t>FY2022A</t>
        </is>
      </c>
      <c r="D4" s="6" t="inlineStr">
        <is>
          <t>FY2023A</t>
        </is>
      </c>
      <c r="E4" s="6" t="inlineStr">
        <is>
          <t>FY2024A</t>
        </is>
      </c>
      <c r="F4" s="6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</row>
    <row r="5">
      <c r="A5" s="8" t="inlineStr">
        <is>
          <t>ASSETS</t>
        </is>
      </c>
    </row>
    <row r="6">
      <c r="A6" s="15" t="inlineStr">
        <is>
          <t>Cash &amp; cash equivalents</t>
        </is>
      </c>
      <c r="B6" s="9" t="n">
        <v>2535</v>
      </c>
      <c r="C6" s="9" t="n">
        <v>4835</v>
      </c>
      <c r="D6" s="9" t="n">
        <v>3933</v>
      </c>
      <c r="E6" s="9" t="n">
        <v>3787</v>
      </c>
      <c r="F6" s="9" t="n">
        <v>5539</v>
      </c>
      <c r="G6" s="10" t="n">
        <v>8000</v>
      </c>
      <c r="H6" s="10" t="n">
        <v>11000</v>
      </c>
      <c r="I6" s="10" t="n">
        <v>16000</v>
      </c>
      <c r="J6" s="10" t="n">
        <v>22000</v>
      </c>
      <c r="K6" s="10" t="n">
        <v>30000</v>
      </c>
    </row>
    <row r="7">
      <c r="A7" s="15" t="inlineStr">
        <is>
          <t>Short-term investments</t>
        </is>
      </c>
      <c r="B7" s="9" t="n">
        <v>1244</v>
      </c>
      <c r="C7" s="9" t="n">
        <v>1020</v>
      </c>
      <c r="D7" s="9" t="n">
        <v>1056</v>
      </c>
      <c r="E7" s="9" t="n">
        <v>1345</v>
      </c>
      <c r="F7" s="9" t="n">
        <v>5013</v>
      </c>
      <c r="G7" s="10" t="n">
        <v>5500</v>
      </c>
      <c r="H7" s="10" t="n">
        <v>6500</v>
      </c>
      <c r="I7" s="10" t="n">
        <v>7500</v>
      </c>
      <c r="J7" s="10" t="n">
        <v>8500</v>
      </c>
      <c r="K7" s="10" t="n">
        <v>9500</v>
      </c>
    </row>
    <row r="8">
      <c r="A8" s="15" t="inlineStr">
        <is>
          <t>Accounts receivable, net</t>
        </is>
      </c>
      <c r="B8" s="9" t="n">
        <v>2706</v>
      </c>
      <c r="C8" s="9" t="n">
        <v>4126</v>
      </c>
      <c r="D8" s="9" t="n">
        <v>5376</v>
      </c>
      <c r="E8" s="9" t="n">
        <v>6192</v>
      </c>
      <c r="F8" s="9" t="n">
        <v>6315</v>
      </c>
      <c r="G8" s="10" t="n">
        <v>7300</v>
      </c>
      <c r="H8" s="10" t="n">
        <v>8800</v>
      </c>
      <c r="I8" s="10" t="n">
        <v>10000</v>
      </c>
      <c r="J8" s="10" t="n">
        <v>11000</v>
      </c>
      <c r="K8" s="10" t="n">
        <v>11700</v>
      </c>
    </row>
    <row r="9">
      <c r="A9" s="15" t="inlineStr">
        <is>
          <t>Inventories</t>
        </is>
      </c>
      <c r="B9" s="9" t="n">
        <v>1955</v>
      </c>
      <c r="C9" s="9" t="n">
        <v>3771</v>
      </c>
      <c r="D9" s="9" t="n">
        <v>4351</v>
      </c>
      <c r="E9" s="9" t="n">
        <v>5734</v>
      </c>
      <c r="F9" s="9" t="n">
        <v>7920</v>
      </c>
      <c r="G9" s="10" t="n">
        <v>9300</v>
      </c>
      <c r="H9" s="10" t="n">
        <v>11200</v>
      </c>
      <c r="I9" s="10" t="n">
        <v>12700</v>
      </c>
      <c r="J9" s="10" t="n">
        <v>13500</v>
      </c>
      <c r="K9" s="10" t="n">
        <v>14000</v>
      </c>
    </row>
    <row r="10">
      <c r="A10" s="15" t="inlineStr">
        <is>
          <t>Prepaid expenses &amp; other CA</t>
        </is>
      </c>
      <c r="B10" s="9" t="n">
        <v>1064</v>
      </c>
      <c r="C10" s="9" t="n">
        <v>1265</v>
      </c>
      <c r="D10" s="9" t="n">
        <v>1389</v>
      </c>
      <c r="E10" s="9" t="n">
        <v>1991</v>
      </c>
      <c r="F10" s="9" t="n">
        <v>2160</v>
      </c>
      <c r="G10" s="10" t="n">
        <v>2500</v>
      </c>
      <c r="H10" s="10" t="n">
        <v>3000</v>
      </c>
      <c r="I10" s="10" t="n">
        <v>3400</v>
      </c>
      <c r="J10" s="10" t="n">
        <v>3700</v>
      </c>
      <c r="K10" s="10" t="n">
        <v>4000</v>
      </c>
    </row>
    <row r="11">
      <c r="A11" s="3" t="inlineStr">
        <is>
          <t>Total current assets</t>
        </is>
      </c>
      <c r="B11" s="11" t="n">
        <v>9504</v>
      </c>
      <c r="C11" s="11" t="n">
        <v>15017</v>
      </c>
      <c r="D11" s="11" t="n">
        <v>16104</v>
      </c>
      <c r="E11" s="11" t="n">
        <v>19049</v>
      </c>
      <c r="F11" s="11" t="n">
        <v>26947</v>
      </c>
      <c r="G11" s="11" t="n">
        <v>32600</v>
      </c>
      <c r="H11" s="11" t="n">
        <v>40500</v>
      </c>
      <c r="I11" s="11" t="n">
        <v>49600</v>
      </c>
      <c r="J11" s="11" t="n">
        <v>58700</v>
      </c>
      <c r="K11" s="11" t="n">
        <v>69200</v>
      </c>
    </row>
    <row r="12">
      <c r="A12" s="15" t="inlineStr">
        <is>
          <t>Property and equipment, net</t>
        </is>
      </c>
      <c r="B12" s="9" t="n">
        <v>702</v>
      </c>
      <c r="C12" s="9" t="n">
        <v>1513</v>
      </c>
      <c r="D12" s="9" t="n">
        <v>1589</v>
      </c>
      <c r="E12" s="9" t="n">
        <v>1802</v>
      </c>
      <c r="F12" s="9" t="n">
        <v>2312</v>
      </c>
      <c r="G12" s="10" t="n">
        <v>2800</v>
      </c>
      <c r="H12" s="10" t="n">
        <v>3500</v>
      </c>
      <c r="I12" s="10" t="n">
        <v>4100</v>
      </c>
      <c r="J12" s="10" t="n">
        <v>4600</v>
      </c>
      <c r="K12" s="10" t="n">
        <v>5000</v>
      </c>
    </row>
    <row r="13">
      <c r="A13" s="15" t="inlineStr">
        <is>
          <t>Goodwill</t>
        </is>
      </c>
      <c r="B13" s="9" t="n">
        <v>289</v>
      </c>
      <c r="C13" s="9" t="n">
        <v>24177</v>
      </c>
      <c r="D13" s="9" t="n">
        <v>24262</v>
      </c>
      <c r="E13" s="9" t="n">
        <v>24839</v>
      </c>
      <c r="F13" s="9" t="n">
        <v>25126</v>
      </c>
      <c r="G13" s="10" t="n">
        <v>25400</v>
      </c>
      <c r="H13" s="10" t="n">
        <v>25500</v>
      </c>
      <c r="I13" s="10" t="n">
        <v>25500</v>
      </c>
      <c r="J13" s="10" t="n">
        <v>25500</v>
      </c>
      <c r="K13" s="10" t="n">
        <v>25500</v>
      </c>
    </row>
    <row r="14">
      <c r="A14" s="15" t="inlineStr">
        <is>
          <t>Acquisition-related intangibles, net</t>
        </is>
      </c>
      <c r="B14" s="9" t="n">
        <v>3</v>
      </c>
      <c r="C14" s="9" t="n">
        <v>24118</v>
      </c>
      <c r="D14" s="9" t="n">
        <v>21934</v>
      </c>
      <c r="E14" s="9" t="n">
        <v>18930</v>
      </c>
      <c r="F14" s="9" t="n">
        <v>16705</v>
      </c>
      <c r="G14" s="10" t="n">
        <v>12000</v>
      </c>
      <c r="H14" s="10" t="n">
        <v>8500</v>
      </c>
      <c r="I14" s="10" t="n">
        <v>5500</v>
      </c>
      <c r="J14" s="10" t="n">
        <v>3500</v>
      </c>
      <c r="K14" s="10" t="n">
        <v>2000</v>
      </c>
    </row>
    <row r="15">
      <c r="A15" s="15" t="inlineStr">
        <is>
          <t>Deferred tax assets, net</t>
        </is>
      </c>
      <c r="B15" s="9" t="n">
        <v>1083</v>
      </c>
      <c r="C15" s="9" t="n">
        <v>1097</v>
      </c>
      <c r="D15" s="9" t="n">
        <v>1976</v>
      </c>
      <c r="E15" s="9" t="n">
        <v>688</v>
      </c>
      <c r="F15" s="9" t="n">
        <v>384</v>
      </c>
      <c r="G15" s="10" t="n">
        <v>400</v>
      </c>
      <c r="H15" s="10" t="n">
        <v>400</v>
      </c>
      <c r="I15" s="10" t="n">
        <v>400</v>
      </c>
      <c r="J15" s="10" t="n">
        <v>400</v>
      </c>
      <c r="K15" s="10" t="n">
        <v>400</v>
      </c>
    </row>
    <row r="16">
      <c r="A16" s="15" t="inlineStr">
        <is>
          <t>Other non-current assets</t>
        </is>
      </c>
      <c r="B16" s="9" t="n">
        <v>707</v>
      </c>
      <c r="C16" s="9" t="n">
        <v>1955</v>
      </c>
      <c r="D16" s="9" t="n">
        <v>2872</v>
      </c>
      <c r="E16" s="9" t="n">
        <v>3918</v>
      </c>
      <c r="F16" s="9" t="n">
        <v>5452</v>
      </c>
      <c r="G16" s="10" t="n">
        <v>6000</v>
      </c>
      <c r="H16" s="10" t="n">
        <v>6800</v>
      </c>
      <c r="I16" s="10" t="n">
        <v>7500</v>
      </c>
      <c r="J16" s="10" t="n">
        <v>8200</v>
      </c>
      <c r="K16" s="10" t="n">
        <v>8800</v>
      </c>
    </row>
    <row r="17">
      <c r="A17" s="3" t="inlineStr">
        <is>
          <t>Total assets</t>
        </is>
      </c>
      <c r="B17" s="11" t="n">
        <v>12423</v>
      </c>
      <c r="C17" s="11" t="n">
        <v>67580</v>
      </c>
      <c r="D17" s="11" t="n">
        <v>67885</v>
      </c>
      <c r="E17" s="11" t="n">
        <v>69226</v>
      </c>
      <c r="F17" s="11" t="n">
        <v>76926</v>
      </c>
      <c r="G17" s="11" t="n">
        <v>79200</v>
      </c>
      <c r="H17" s="11" t="n">
        <v>85200</v>
      </c>
      <c r="I17" s="11" t="n">
        <v>92600</v>
      </c>
      <c r="J17" s="11" t="n">
        <v>100900</v>
      </c>
      <c r="K17" s="11" t="n">
        <v>110900</v>
      </c>
    </row>
    <row r="18">
      <c r="A18" s="8" t="inlineStr">
        <is>
          <t>LIABILITIES</t>
        </is>
      </c>
    </row>
    <row r="19">
      <c r="A19" s="15" t="inlineStr">
        <is>
          <t>Accounts payable</t>
        </is>
      </c>
      <c r="B19" s="9" t="n">
        <v>887</v>
      </c>
      <c r="C19" s="9" t="n">
        <v>2493</v>
      </c>
      <c r="D19" s="9" t="n">
        <v>2055</v>
      </c>
      <c r="E19" s="9" t="n">
        <v>2466</v>
      </c>
      <c r="F19" s="9" t="n">
        <v>2929</v>
      </c>
      <c r="G19" s="10" t="n">
        <v>3400</v>
      </c>
      <c r="H19" s="10" t="n">
        <v>4100</v>
      </c>
      <c r="I19" s="10" t="n">
        <v>4700</v>
      </c>
      <c r="J19" s="10" t="n">
        <v>5100</v>
      </c>
      <c r="K19" s="10" t="n">
        <v>5400</v>
      </c>
    </row>
    <row r="20">
      <c r="A20" s="15" t="inlineStr">
        <is>
          <t>Accrued liabilities</t>
        </is>
      </c>
      <c r="B20" s="9" t="n">
        <v>1796</v>
      </c>
      <c r="C20" s="9" t="n">
        <v>4368</v>
      </c>
      <c r="D20" s="9" t="n">
        <v>3905</v>
      </c>
      <c r="E20" s="9" t="n">
        <v>4260</v>
      </c>
      <c r="F20" s="9" t="n">
        <v>5250</v>
      </c>
      <c r="G20" s="10" t="n">
        <v>6200</v>
      </c>
      <c r="H20" s="10" t="n">
        <v>7300</v>
      </c>
      <c r="I20" s="10" t="n">
        <v>8400</v>
      </c>
      <c r="J20" s="10" t="n">
        <v>9100</v>
      </c>
      <c r="K20" s="10" t="n">
        <v>9600</v>
      </c>
    </row>
    <row r="21">
      <c r="A21" s="15" t="inlineStr">
        <is>
          <t>Current debt</t>
        </is>
      </c>
      <c r="B21" s="9" t="n">
        <v>312</v>
      </c>
      <c r="C21" s="9" t="n">
        <v>0</v>
      </c>
      <c r="D21" s="9" t="n">
        <v>751</v>
      </c>
      <c r="E21" s="9" t="n">
        <v>0</v>
      </c>
      <c r="F21" s="9" t="n">
        <v>874</v>
      </c>
      <c r="G21" s="10" t="n">
        <v>800</v>
      </c>
      <c r="H21" s="10" t="n">
        <v>700</v>
      </c>
      <c r="I21" s="10" t="n">
        <v>500</v>
      </c>
      <c r="J21" s="10" t="n">
        <v>400</v>
      </c>
      <c r="K21" s="10" t="n">
        <v>300</v>
      </c>
    </row>
    <row r="22">
      <c r="A22" s="15" t="inlineStr">
        <is>
          <t>Other current liabilities</t>
        </is>
      </c>
      <c r="B22" s="9" t="n">
        <v>124</v>
      </c>
      <c r="C22" s="9" t="n">
        <v>597</v>
      </c>
      <c r="D22" s="9" t="n">
        <v>1010</v>
      </c>
      <c r="E22" s="9" t="n">
        <v>555</v>
      </c>
      <c r="F22" s="9" t="n">
        <v>402</v>
      </c>
      <c r="G22" s="10" t="n">
        <v>450</v>
      </c>
      <c r="H22" s="10" t="n">
        <v>500</v>
      </c>
      <c r="I22" s="10" t="n">
        <v>550</v>
      </c>
      <c r="J22" s="10" t="n">
        <v>600</v>
      </c>
      <c r="K22" s="10" t="n">
        <v>650</v>
      </c>
    </row>
    <row r="23">
      <c r="A23" s="3" t="inlineStr">
        <is>
          <t>Total current liabilities</t>
        </is>
      </c>
      <c r="B23" s="11" t="n">
        <v>3119</v>
      </c>
      <c r="C23" s="11" t="n">
        <v>7458</v>
      </c>
      <c r="D23" s="11" t="n">
        <v>7721</v>
      </c>
      <c r="E23" s="11" t="n">
        <v>7281</v>
      </c>
      <c r="F23" s="11" t="n">
        <v>9455</v>
      </c>
      <c r="G23" s="11" t="n">
        <v>10850</v>
      </c>
      <c r="H23" s="11" t="n">
        <v>12600</v>
      </c>
      <c r="I23" s="11" t="n">
        <v>14150</v>
      </c>
      <c r="J23" s="11" t="n">
        <v>15200</v>
      </c>
      <c r="K23" s="11" t="n">
        <v>15950</v>
      </c>
    </row>
    <row r="24">
      <c r="A24" s="15" t="inlineStr">
        <is>
          <t>Long-term debt</t>
        </is>
      </c>
      <c r="B24" s="9" t="n">
        <v>313</v>
      </c>
      <c r="C24" s="9" t="n">
        <v>2467</v>
      </c>
      <c r="D24" s="9" t="n">
        <v>1709</v>
      </c>
      <c r="E24" s="9" t="n">
        <v>1721</v>
      </c>
      <c r="F24" s="9" t="n">
        <v>2348</v>
      </c>
      <c r="G24" s="10" t="n">
        <v>3000</v>
      </c>
      <c r="H24" s="10" t="n">
        <v>3000</v>
      </c>
      <c r="I24" s="10" t="n">
        <v>3000</v>
      </c>
      <c r="J24" s="10" t="n">
        <v>3000</v>
      </c>
      <c r="K24" s="10" t="n">
        <v>3000</v>
      </c>
    </row>
    <row r="25">
      <c r="A25" s="15" t="inlineStr">
        <is>
          <t>Long-term operating lease liab.</t>
        </is>
      </c>
      <c r="B25" s="9" t="n">
        <v>197</v>
      </c>
      <c r="C25" s="9" t="n">
        <v>327</v>
      </c>
      <c r="D25" s="9" t="n">
        <v>367</v>
      </c>
      <c r="E25" s="9" t="n">
        <v>491</v>
      </c>
      <c r="F25" s="9" t="n">
        <v>625</v>
      </c>
      <c r="G25" s="10" t="n">
        <v>700</v>
      </c>
      <c r="H25" s="10" t="n">
        <v>800</v>
      </c>
      <c r="I25" s="10" t="n">
        <v>900</v>
      </c>
      <c r="J25" s="10" t="n">
        <v>1000</v>
      </c>
      <c r="K25" s="10" t="n">
        <v>1100</v>
      </c>
    </row>
    <row r="26">
      <c r="A26" s="15" t="inlineStr">
        <is>
          <t>Deferred tax liabilities</t>
        </is>
      </c>
      <c r="B26" s="9" t="n">
        <v>4</v>
      </c>
      <c r="C26" s="9" t="n">
        <v>1313</v>
      </c>
      <c r="D26" s="9" t="n">
        <v>879</v>
      </c>
      <c r="E26" s="9" t="n">
        <v>349</v>
      </c>
      <c r="F26" s="9" t="n">
        <v>313</v>
      </c>
      <c r="G26" s="10" t="n">
        <v>350</v>
      </c>
      <c r="H26" s="10" t="n">
        <v>400</v>
      </c>
      <c r="I26" s="10" t="n">
        <v>400</v>
      </c>
      <c r="J26" s="10" t="n">
        <v>400</v>
      </c>
      <c r="K26" s="10" t="n">
        <v>400</v>
      </c>
    </row>
    <row r="27">
      <c r="A27" s="15" t="inlineStr">
        <is>
          <t>Other long-term liabilities</t>
        </is>
      </c>
      <c r="B27" s="9" t="n">
        <v>304</v>
      </c>
      <c r="C27" s="9" t="n">
        <v>1664</v>
      </c>
      <c r="D27" s="9" t="n">
        <v>1664</v>
      </c>
      <c r="E27" s="9" t="n">
        <v>1816</v>
      </c>
      <c r="F27" s="9" t="n">
        <v>1186</v>
      </c>
      <c r="G27" s="10" t="n">
        <v>1200</v>
      </c>
      <c r="H27" s="10" t="n">
        <v>1300</v>
      </c>
      <c r="I27" s="10" t="n">
        <v>1400</v>
      </c>
      <c r="J27" s="10" t="n">
        <v>1500</v>
      </c>
      <c r="K27" s="10" t="n">
        <v>1600</v>
      </c>
    </row>
    <row r="28">
      <c r="A28" s="3" t="inlineStr">
        <is>
          <t>Total liabilities</t>
        </is>
      </c>
      <c r="B28" s="11" t="n">
        <v>3937</v>
      </c>
      <c r="C28" s="11" t="n">
        <v>13229</v>
      </c>
      <c r="D28" s="11" t="n">
        <v>12340</v>
      </c>
      <c r="E28" s="11" t="n">
        <v>11658</v>
      </c>
      <c r="F28" s="11" t="n">
        <v>13927</v>
      </c>
      <c r="G28" s="11" t="n">
        <v>16100</v>
      </c>
      <c r="H28" s="11" t="n">
        <v>18100</v>
      </c>
      <c r="I28" s="11" t="n">
        <v>19850</v>
      </c>
      <c r="J28" s="11" t="n">
        <v>21100</v>
      </c>
      <c r="K28" s="11" t="n">
        <v>22050</v>
      </c>
    </row>
    <row r="29">
      <c r="A29" s="8" t="inlineStr">
        <is>
          <t>STOCKHOLDERS' EQUITY</t>
        </is>
      </c>
    </row>
    <row r="30">
      <c r="A30" s="15" t="inlineStr">
        <is>
          <t>Common stock + APIC</t>
        </is>
      </c>
      <c r="B30" s="9" t="n">
        <v>10727</v>
      </c>
      <c r="C30" s="9" t="n">
        <v>58419</v>
      </c>
      <c r="D30" s="9" t="n">
        <v>60313</v>
      </c>
      <c r="E30" s="9" t="n">
        <v>61379</v>
      </c>
      <c r="F30" s="9" t="n">
        <v>63382</v>
      </c>
      <c r="G30" s="10" t="n">
        <v>65500</v>
      </c>
      <c r="H30" s="10" t="n">
        <v>67500</v>
      </c>
      <c r="I30" s="10" t="n">
        <v>69500</v>
      </c>
      <c r="J30" s="10" t="n">
        <v>71500</v>
      </c>
      <c r="K30" s="10" t="n">
        <v>73500</v>
      </c>
    </row>
    <row r="31">
      <c r="A31" s="15" t="inlineStr">
        <is>
          <t>Treasury stock</t>
        </is>
      </c>
      <c r="B31" s="9" t="n">
        <v>0</v>
      </c>
      <c r="C31" s="9" t="n">
        <v>-4480</v>
      </c>
      <c r="D31" s="9" t="n">
        <v>-4523</v>
      </c>
      <c r="E31" s="9" t="n">
        <v>-6106</v>
      </c>
      <c r="F31" s="9" t="n">
        <v>-7079</v>
      </c>
      <c r="G31" s="10" t="n">
        <v>-10200</v>
      </c>
      <c r="H31" s="10" t="n">
        <v>-15400</v>
      </c>
      <c r="I31" s="10" t="n">
        <v>-22600</v>
      </c>
      <c r="J31" s="10" t="n">
        <v>-30800</v>
      </c>
      <c r="K31" s="10" t="n">
        <v>-39900</v>
      </c>
    </row>
    <row r="32">
      <c r="A32" s="15" t="inlineStr">
        <is>
          <t>Retained earnings</t>
        </is>
      </c>
      <c r="B32" s="9" t="n">
        <v>-2241</v>
      </c>
      <c r="C32" s="9" t="n">
        <v>458</v>
      </c>
      <c r="D32" s="9" t="n">
        <v>1184</v>
      </c>
      <c r="E32" s="9" t="n">
        <v>2364</v>
      </c>
      <c r="F32" s="9" t="n">
        <v>6699</v>
      </c>
      <c r="G32" s="10" t="n">
        <v>7700</v>
      </c>
      <c r="H32" s="10" t="n">
        <v>14900</v>
      </c>
      <c r="I32" s="10" t="n">
        <v>25700</v>
      </c>
      <c r="J32" s="10" t="n">
        <v>38000</v>
      </c>
      <c r="K32" s="10" t="n">
        <v>54200</v>
      </c>
    </row>
    <row r="33">
      <c r="A33" s="15" t="inlineStr">
        <is>
          <t>AOCI / other</t>
        </is>
      </c>
      <c r="B33" s="9" t="n">
        <v>0</v>
      </c>
      <c r="C33" s="9" t="n">
        <v>-46</v>
      </c>
      <c r="D33" s="9" t="n">
        <v>-429</v>
      </c>
      <c r="E33" s="9" t="n">
        <v>-69</v>
      </c>
      <c r="F33" s="9" t="n">
        <v>-3</v>
      </c>
      <c r="G33" s="10" t="n">
        <v>100</v>
      </c>
      <c r="H33" s="10" t="n">
        <v>100</v>
      </c>
      <c r="I33" s="10" t="n">
        <v>150</v>
      </c>
      <c r="J33" s="10" t="n">
        <v>100</v>
      </c>
      <c r="K33" s="10" t="n">
        <v>50</v>
      </c>
    </row>
    <row r="34">
      <c r="A34" s="3" t="inlineStr">
        <is>
          <t>Total stockholders' equity</t>
        </is>
      </c>
      <c r="B34" s="11" t="n">
        <v>8486</v>
      </c>
      <c r="C34" s="11" t="n">
        <v>54351</v>
      </c>
      <c r="D34" s="11" t="n">
        <v>56545</v>
      </c>
      <c r="E34" s="11" t="n">
        <v>57568</v>
      </c>
      <c r="F34" s="11" t="n">
        <v>62999</v>
      </c>
      <c r="G34" s="11" t="n">
        <v>63100</v>
      </c>
      <c r="H34" s="11" t="n">
        <v>67100</v>
      </c>
      <c r="I34" s="11" t="n">
        <v>72750</v>
      </c>
      <c r="J34" s="11" t="n">
        <v>78800</v>
      </c>
      <c r="K34" s="11" t="n">
        <v>87850</v>
      </c>
    </row>
    <row r="35">
      <c r="A35" s="3" t="inlineStr">
        <is>
          <t>Total liabilities + equity</t>
        </is>
      </c>
      <c r="B35" s="11" t="n">
        <v>12423</v>
      </c>
      <c r="C35" s="11" t="n">
        <v>67580</v>
      </c>
      <c r="D35" s="11" t="n">
        <v>68885</v>
      </c>
      <c r="E35" s="11" t="n">
        <v>69226</v>
      </c>
      <c r="F35" s="11" t="n">
        <v>76926</v>
      </c>
      <c r="G35" s="11" t="n">
        <v>79200</v>
      </c>
      <c r="H35" s="11" t="n">
        <v>85200</v>
      </c>
      <c r="I35" s="11" t="n">
        <v>92600</v>
      </c>
      <c r="J35" s="11" t="n">
        <v>99900</v>
      </c>
      <c r="K35" s="11" t="n">
        <v>109900</v>
      </c>
    </row>
    <row r="36">
      <c r="A36" s="8" t="inlineStr">
        <is>
          <t>KEY RATIOS</t>
        </is>
      </c>
    </row>
    <row r="37">
      <c r="A37" s="3" t="inlineStr">
        <is>
          <t>Current ratio</t>
        </is>
      </c>
      <c r="B37" s="18" t="n">
        <v>3.05</v>
      </c>
      <c r="C37" s="18" t="n">
        <v>2.01</v>
      </c>
      <c r="D37" s="18" t="n">
        <v>2.09</v>
      </c>
      <c r="E37" s="18" t="n">
        <v>2.62</v>
      </c>
      <c r="F37" s="18" t="n">
        <v>2.85</v>
      </c>
      <c r="G37" s="19" t="n">
        <v>3</v>
      </c>
      <c r="H37" s="19" t="n">
        <v>3.21</v>
      </c>
      <c r="I37" s="19" t="n">
        <v>3.51</v>
      </c>
      <c r="J37" s="19" t="n">
        <v>3.86</v>
      </c>
      <c r="K37" s="19" t="n">
        <v>4.34</v>
      </c>
    </row>
    <row r="38">
      <c r="A38" s="15" t="inlineStr">
        <is>
          <t>Net debt / (cash)</t>
        </is>
      </c>
      <c r="B38" s="9" t="n">
        <v>-2566</v>
      </c>
      <c r="C38" s="9" t="n">
        <v>-3388</v>
      </c>
      <c r="D38" s="9" t="n">
        <v>-3529</v>
      </c>
      <c r="E38" s="9" t="n">
        <v>-5411</v>
      </c>
      <c r="F38" s="9" t="n">
        <v>-7330</v>
      </c>
      <c r="G38" s="10" t="n">
        <v>-9700</v>
      </c>
      <c r="H38" s="10" t="n">
        <v>-13800</v>
      </c>
      <c r="I38" s="10" t="n">
        <v>-20000</v>
      </c>
      <c r="J38" s="10" t="n">
        <v>-27100</v>
      </c>
      <c r="K38" s="10" t="n">
        <v>-36200</v>
      </c>
    </row>
    <row r="39">
      <c r="A39" s="3" t="inlineStr">
        <is>
          <t>Debt / equity</t>
        </is>
      </c>
      <c r="B39" s="18" t="n">
        <v>0.07000000000000001</v>
      </c>
      <c r="C39" s="18" t="n">
        <v>0.05</v>
      </c>
      <c r="D39" s="18" t="n">
        <v>0.04</v>
      </c>
      <c r="E39" s="18" t="n">
        <v>0.03</v>
      </c>
      <c r="F39" s="18" t="n">
        <v>0.05</v>
      </c>
      <c r="G39" s="19" t="n">
        <v>0.06</v>
      </c>
      <c r="H39" s="19" t="n">
        <v>0.06</v>
      </c>
      <c r="I39" s="19" t="n">
        <v>0.05</v>
      </c>
      <c r="J39" s="19" t="n">
        <v>0.04</v>
      </c>
      <c r="K39" s="19" t="n">
        <v>0.04</v>
      </c>
    </row>
    <row r="40">
      <c r="A40" s="3" t="inlineStr">
        <is>
          <t>ROE</t>
        </is>
      </c>
      <c r="B40" s="13" t="n">
        <v>0.372</v>
      </c>
      <c r="C40" s="13" t="n">
        <v>0.024</v>
      </c>
      <c r="D40" s="13" t="n">
        <v>0.015</v>
      </c>
      <c r="E40" s="13" t="n">
        <v>0.029</v>
      </c>
      <c r="F40" s="13" t="n">
        <v>0.06900000000000001</v>
      </c>
      <c r="G40" s="14" t="n">
        <v>0.115</v>
      </c>
      <c r="H40" s="14" t="n">
        <v>0.185</v>
      </c>
      <c r="I40" s="14" t="n">
        <v>0.24</v>
      </c>
      <c r="J40" s="14" t="n">
        <v>0.269</v>
      </c>
      <c r="K40" s="14" t="n">
        <v>0.272</v>
      </c>
    </row>
    <row r="41">
      <c r="A41" s="3" t="inlineStr">
        <is>
          <t>ROIC (NOPAT/IC)</t>
        </is>
      </c>
      <c r="B41" s="13" t="n">
        <v>0.421</v>
      </c>
      <c r="C41" s="13" t="n">
        <v>0.019</v>
      </c>
      <c r="D41" s="13" t="n">
        <v>0.005</v>
      </c>
      <c r="E41" s="13" t="n">
        <v>0.024</v>
      </c>
      <c r="F41" s="13" t="n">
        <v>0.046</v>
      </c>
      <c r="G41" s="14" t="n">
        <v>0.097</v>
      </c>
      <c r="H41" s="14" t="n">
        <v>0.171</v>
      </c>
      <c r="I41" s="14" t="n">
        <v>0.236</v>
      </c>
      <c r="J41" s="14" t="n">
        <v>0.281</v>
      </c>
      <c r="K41" s="14" t="n">
        <v>0.317</v>
      </c>
    </row>
  </sheetData>
  <mergeCells count="4">
    <mergeCell ref="A5:K5"/>
    <mergeCell ref="A18:K18"/>
    <mergeCell ref="A36:K36"/>
    <mergeCell ref="A29:K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Scenario Analysis — FY2030E outcomes</t>
        </is>
      </c>
    </row>
    <row r="2">
      <c r="A2" s="4" t="inlineStr">
        <is>
          <t>Bull / Base / Bear under different MI450 ramp, OpenAI deployment cadence, and GM mix.</t>
        </is>
      </c>
    </row>
    <row r="4">
      <c r="A4" s="20" t="inlineStr">
        <is>
          <t>Driver assumptions</t>
        </is>
      </c>
      <c r="B4" s="21" t="inlineStr">
        <is>
          <t>Bear</t>
        </is>
      </c>
      <c r="C4" s="20" t="inlineStr">
        <is>
          <t>Base</t>
        </is>
      </c>
      <c r="D4" s="22" t="inlineStr">
        <is>
          <t>Bull</t>
        </is>
      </c>
    </row>
    <row r="5">
      <c r="A5" s="23" t="inlineStr">
        <is>
          <t>MI450/MI500 attach rate at OpenAI (vs. nameplate)</t>
        </is>
      </c>
      <c r="B5" s="24" t="inlineStr">
        <is>
          <t>50%</t>
        </is>
      </c>
      <c r="C5" s="24" t="inlineStr">
        <is>
          <t>85%</t>
        </is>
      </c>
      <c r="D5" s="24" t="inlineStr">
        <is>
          <t>110%</t>
        </is>
      </c>
    </row>
    <row r="6">
      <c r="A6" s="23" t="inlineStr">
        <is>
          <t>OpenAI 6 GW deployment completion by FY2030</t>
        </is>
      </c>
      <c r="B6" s="24" t="inlineStr">
        <is>
          <t>3.0 GW</t>
        </is>
      </c>
      <c r="C6" s="24" t="inlineStr">
        <is>
          <t>4.5 GW</t>
        </is>
      </c>
      <c r="D6" s="24" t="inlineStr">
        <is>
          <t>6.0 GW</t>
        </is>
      </c>
    </row>
    <row r="7">
      <c r="A7" s="23" t="inlineStr">
        <is>
          <t>Instinct GPU FY2030E revenue</t>
        </is>
      </c>
      <c r="B7" s="24" t="inlineStr">
        <is>
          <t>$18.0B</t>
        </is>
      </c>
      <c r="C7" s="24" t="inlineStr">
        <is>
          <t>$30.0B</t>
        </is>
      </c>
      <c r="D7" s="24" t="inlineStr">
        <is>
          <t>$45.0B</t>
        </is>
      </c>
    </row>
    <row r="8">
      <c r="A8" s="23" t="inlineStr">
        <is>
          <t>EPYC FY2030E server-CPU share (units)</t>
        </is>
      </c>
      <c r="B8" s="24" t="inlineStr">
        <is>
          <t>30%</t>
        </is>
      </c>
      <c r="C8" s="24" t="inlineStr">
        <is>
          <t>40%</t>
        </is>
      </c>
      <c r="D8" s="24" t="inlineStr">
        <is>
          <t>50%</t>
        </is>
      </c>
    </row>
    <row r="9">
      <c r="A9" s="23" t="inlineStr">
        <is>
          <t>ROCm developer adoption (vs. CUDA-equivalent share)</t>
        </is>
      </c>
      <c r="B9" s="24" t="inlineStr">
        <is>
          <t>8%</t>
        </is>
      </c>
      <c r="C9" s="24" t="inlineStr">
        <is>
          <t>18%</t>
        </is>
      </c>
      <c r="D9" s="24" t="inlineStr">
        <is>
          <t>30%</t>
        </is>
      </c>
    </row>
    <row r="10">
      <c r="A10" s="23" t="inlineStr">
        <is>
          <t>China export-license tightening (incremental revenue loss)</t>
        </is>
      </c>
      <c r="B10" s="24" t="inlineStr">
        <is>
          <t>$3.0B</t>
        </is>
      </c>
      <c r="C10" s="24" t="inlineStr">
        <is>
          <t>$0.5B</t>
        </is>
      </c>
      <c r="D10" s="24" t="inlineStr">
        <is>
          <t>$0.0B</t>
        </is>
      </c>
    </row>
    <row r="11">
      <c r="A11" s="23" t="inlineStr">
        <is>
          <t>NVIDIA pricing pressure on Instinct ASPs</t>
        </is>
      </c>
      <c r="B11" s="24" t="inlineStr">
        <is>
          <t>-15%</t>
        </is>
      </c>
      <c r="C11" s="24" t="inlineStr">
        <is>
          <t>-5%</t>
        </is>
      </c>
      <c r="D11" s="24" t="inlineStr">
        <is>
          <t>0%</t>
        </is>
      </c>
    </row>
    <row r="12">
      <c r="A12" s="23" t="inlineStr">
        <is>
          <t>Embedded segment recovery (FY30E rev)</t>
        </is>
      </c>
      <c r="B12" s="24" t="inlineStr">
        <is>
          <t>$5.0B</t>
        </is>
      </c>
      <c r="C12" s="24" t="inlineStr">
        <is>
          <t>$6.0B</t>
        </is>
      </c>
      <c r="D12" s="24" t="inlineStr">
        <is>
          <t>$7.5B</t>
        </is>
      </c>
    </row>
    <row r="13">
      <c r="A13" s="23" t="inlineStr">
        <is>
          <t>Non-GAAP gross margin (FY30E)</t>
        </is>
      </c>
      <c r="B13" s="24" t="inlineStr">
        <is>
          <t>52%</t>
        </is>
      </c>
      <c r="C13" s="24" t="inlineStr">
        <is>
          <t>56%</t>
        </is>
      </c>
      <c r="D13" s="24" t="inlineStr">
        <is>
          <t>60%</t>
        </is>
      </c>
    </row>
    <row r="14">
      <c r="A14" s="23" t="inlineStr">
        <is>
          <t>Non-GAAP operating margin (FY30E)</t>
        </is>
      </c>
      <c r="B14" s="24" t="inlineStr">
        <is>
          <t>30%</t>
        </is>
      </c>
      <c r="C14" s="24" t="inlineStr">
        <is>
          <t>40%</t>
        </is>
      </c>
      <c r="D14" s="24" t="inlineStr">
        <is>
          <t>48%</t>
        </is>
      </c>
    </row>
    <row r="17">
      <c r="A17" s="20" t="inlineStr">
        <is>
          <t>FY2030E OUTCOMES</t>
        </is>
      </c>
      <c r="B17" s="21" t="inlineStr">
        <is>
          <t>Bear</t>
        </is>
      </c>
      <c r="C17" s="20" t="inlineStr">
        <is>
          <t>Base</t>
        </is>
      </c>
      <c r="D17" s="22" t="inlineStr">
        <is>
          <t>Bull</t>
        </is>
      </c>
    </row>
    <row r="18">
      <c r="A18" s="3" t="inlineStr">
        <is>
          <t>Revenue (USD M)</t>
        </is>
      </c>
      <c r="B18" s="25" t="n">
        <v>60000</v>
      </c>
      <c r="C18" s="25" t="n">
        <v>87200</v>
      </c>
      <c r="D18" s="25" t="n">
        <v>120000</v>
      </c>
    </row>
    <row r="19">
      <c r="A19" s="3" t="inlineStr">
        <is>
          <t>YoY growth (FY30E vs FY25)</t>
        </is>
      </c>
      <c r="B19" s="26" t="n">
        <v>0.115</v>
      </c>
      <c r="C19" s="26" t="n">
        <v>0.202</v>
      </c>
      <c r="D19" s="26" t="n">
        <v>0.282</v>
      </c>
    </row>
    <row r="20">
      <c r="A20" s="3" t="inlineStr">
        <is>
          <t>Gross margin</t>
        </is>
      </c>
      <c r="B20" s="26" t="n">
        <v>0.52</v>
      </c>
      <c r="C20" s="26" t="n">
        <v>0.569</v>
      </c>
      <c r="D20" s="26" t="n">
        <v>0.6</v>
      </c>
    </row>
    <row r="21">
      <c r="A21" s="3" t="inlineStr">
        <is>
          <t>Operating income (USD M)</t>
        </is>
      </c>
      <c r="B21" s="25" t="n">
        <v>15000</v>
      </c>
      <c r="C21" s="25" t="n">
        <v>28700</v>
      </c>
      <c r="D21" s="25" t="n">
        <v>50000</v>
      </c>
    </row>
    <row r="22">
      <c r="A22" s="3" t="inlineStr">
        <is>
          <t>Operating margin</t>
        </is>
      </c>
      <c r="B22" s="26" t="n">
        <v>0.25</v>
      </c>
      <c r="C22" s="26" t="n">
        <v>0.329</v>
      </c>
      <c r="D22" s="26" t="n">
        <v>0.417</v>
      </c>
    </row>
    <row r="23">
      <c r="A23" s="3" t="inlineStr">
        <is>
          <t>Net income (USD M)</t>
        </is>
      </c>
      <c r="B23" s="25" t="n">
        <v>12000</v>
      </c>
      <c r="C23" s="25" t="n">
        <v>23860</v>
      </c>
      <c r="D23" s="25" t="n">
        <v>40000</v>
      </c>
    </row>
    <row r="24">
      <c r="A24" s="3" t="inlineStr">
        <is>
          <t>Free cash flow (USD M)</t>
        </is>
      </c>
      <c r="B24" s="25" t="n">
        <v>12500</v>
      </c>
      <c r="C24" s="25" t="n">
        <v>25860</v>
      </c>
      <c r="D24" s="25" t="n">
        <v>41000</v>
      </c>
    </row>
    <row r="25">
      <c r="A25" s="3" t="inlineStr">
        <is>
          <t>Diluted EPS (USD)</t>
        </is>
      </c>
      <c r="B25" s="27" t="n">
        <v>7.2</v>
      </c>
      <c r="C25" s="27" t="n">
        <v>13.9</v>
      </c>
      <c r="D25" s="27" t="n">
        <v>22.5</v>
      </c>
    </row>
    <row r="26">
      <c r="A26" s="3" t="inlineStr">
        <is>
          <t>Implied FY30 P/E at current $444</t>
        </is>
      </c>
      <c r="B26" s="27" t="n">
        <v>61.7</v>
      </c>
      <c r="C26" s="27" t="n">
        <v>31.9</v>
      </c>
      <c r="D26" s="27" t="n">
        <v>19.7</v>
      </c>
    </row>
    <row r="29">
      <c r="A29" s="20" t="inlineStr">
        <is>
          <t>Scenario narratives</t>
        </is>
      </c>
    </row>
    <row r="30" ht="60" customHeight="1">
      <c r="A30" s="3" t="inlineStr">
        <is>
          <t>Bear</t>
        </is>
      </c>
      <c r="B30" s="28" t="inlineStr">
        <is>
          <t>OpenAI ramp stalls at 3 GW; MI450 GM compressed by NVIDIA pricing; tightened China export controls remove $3B of MI3xx revenue annually; hyperscaler ASICs (TPU/Maia/Trainium) take share. AMD remains profitable but multiple compresses to ~20x P/E.</t>
        </is>
      </c>
    </row>
    <row r="31" ht="60" customHeight="1">
      <c r="A31" s="3" t="inlineStr">
        <is>
          <t>Base</t>
        </is>
      </c>
      <c r="B31" s="28" t="inlineStr">
        <is>
          <t>OpenAI hits 4.5 GW by FY30; MI450/500 ramp on plan; ROCm 7-9 closes 60% of software gap; EPYC hits 40% server CPU unit share; embedded recovers to mid-single-digit growth. Revenue 2.5x FY2025.</t>
        </is>
      </c>
    </row>
    <row r="32" ht="60" customHeight="1">
      <c r="A32" s="3" t="inlineStr">
        <is>
          <t>Bull</t>
        </is>
      </c>
      <c r="B32" s="28" t="inlineStr">
        <is>
          <t>Full 6 GW OpenAI deployment by FY29; MI450 exceeds plan on inference workloads with HBM advantage; 2-3 additional 1-GW frontier-AI customer wins; gross margin expands to 60% on volume + Embedded mix. Revenue 3.5x FY2025.</t>
        </is>
      </c>
    </row>
  </sheetData>
  <mergeCells count="4">
    <mergeCell ref="B31:D31"/>
    <mergeCell ref="A29:D29"/>
    <mergeCell ref="B32:D32"/>
    <mergeCell ref="B30:D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DCF Inputs — base case unlevered FCF</t>
        </is>
      </c>
    </row>
    <row r="2">
      <c r="A2" s="4" t="inlineStr">
        <is>
          <t>All figures USD millions. Drives DCF tab built in Task 3.</t>
        </is>
      </c>
    </row>
    <row r="4">
      <c r="A4" t="inlineStr">
        <is>
          <t>Year</t>
        </is>
      </c>
      <c r="B4" s="20" t="inlineStr">
        <is>
          <t>FY2026E</t>
        </is>
      </c>
      <c r="C4" s="20" t="inlineStr">
        <is>
          <t>FY2027E</t>
        </is>
      </c>
      <c r="D4" s="20" t="inlineStr">
        <is>
          <t>FY2028E</t>
        </is>
      </c>
      <c r="E4" s="20" t="inlineStr">
        <is>
          <t>FY2029E</t>
        </is>
      </c>
      <c r="F4" s="20" t="inlineStr">
        <is>
          <t>FY2030E</t>
        </is>
      </c>
      <c r="G4" s="20" t="inlineStr">
        <is>
          <t>FY2031E</t>
        </is>
      </c>
      <c r="H4" s="20" t="inlineStr">
        <is>
          <t>FY2032E</t>
        </is>
      </c>
      <c r="I4" s="20" t="inlineStr">
        <is>
          <t>FY2033E</t>
        </is>
      </c>
      <c r="J4" s="20" t="inlineStr">
        <is>
          <t>FY2034E</t>
        </is>
      </c>
      <c r="K4" s="20" t="inlineStr">
        <is>
          <t>FY2035E</t>
        </is>
      </c>
      <c r="L4" s="20" t="inlineStr">
        <is>
          <t>Terminal</t>
        </is>
      </c>
    </row>
    <row r="5">
      <c r="A5" s="15" t="inlineStr">
        <is>
          <t>Revenue</t>
        </is>
      </c>
      <c r="B5" s="10" t="n">
        <v>43800</v>
      </c>
      <c r="C5" s="10" t="n">
        <v>58400</v>
      </c>
      <c r="D5" s="10" t="n">
        <v>72100</v>
      </c>
      <c r="E5" s="10" t="n">
        <v>81000</v>
      </c>
      <c r="F5" s="10" t="n">
        <v>87200</v>
      </c>
      <c r="G5" s="10" t="n">
        <v>94000</v>
      </c>
      <c r="H5" s="10" t="n">
        <v>100500</v>
      </c>
      <c r="I5" s="10" t="n">
        <v>106500</v>
      </c>
      <c r="J5" s="10" t="n">
        <v>111500</v>
      </c>
      <c r="K5" s="10" t="n">
        <v>116000</v>
      </c>
    </row>
    <row r="6">
      <c r="A6" s="3" t="inlineStr">
        <is>
          <t>YoY growth</t>
        </is>
      </c>
      <c r="B6" s="14" t="n">
        <v>0.265</v>
      </c>
      <c r="C6" s="14" t="n">
        <v>0.333</v>
      </c>
      <c r="D6" s="14" t="n">
        <v>0.235</v>
      </c>
      <c r="E6" s="14" t="n">
        <v>0.124</v>
      </c>
      <c r="F6" s="14" t="n">
        <v>0.077</v>
      </c>
      <c r="G6" s="14" t="n">
        <v>0.078</v>
      </c>
      <c r="H6" s="14" t="n">
        <v>0.06900000000000001</v>
      </c>
      <c r="I6" s="14" t="n">
        <v>0.06</v>
      </c>
      <c r="J6" s="14" t="n">
        <v>0.047</v>
      </c>
      <c r="K6" s="14" t="n">
        <v>0.04</v>
      </c>
    </row>
    <row r="7">
      <c r="A7" s="15" t="inlineStr">
        <is>
          <t>EBIT (operating income)</t>
        </is>
      </c>
      <c r="B7" s="10" t="n">
        <v>8000</v>
      </c>
      <c r="C7" s="10" t="n">
        <v>14500</v>
      </c>
      <c r="D7" s="10" t="n">
        <v>20800</v>
      </c>
      <c r="E7" s="10" t="n">
        <v>25400</v>
      </c>
      <c r="F7" s="10" t="n">
        <v>28700</v>
      </c>
      <c r="G7" s="10" t="n">
        <v>31200</v>
      </c>
      <c r="H7" s="10" t="n">
        <v>33800</v>
      </c>
      <c r="I7" s="10" t="n">
        <v>36000</v>
      </c>
      <c r="J7" s="10" t="n">
        <v>37800</v>
      </c>
      <c r="K7" s="10" t="n">
        <v>39400</v>
      </c>
    </row>
    <row r="8">
      <c r="A8" s="3" t="inlineStr">
        <is>
          <t>EBIT margin</t>
        </is>
      </c>
      <c r="B8" s="14" t="n">
        <v>0.183</v>
      </c>
      <c r="C8" s="14" t="n">
        <v>0.248</v>
      </c>
      <c r="D8" s="14" t="n">
        <v>0.288</v>
      </c>
      <c r="E8" s="14" t="n">
        <v>0.314</v>
      </c>
      <c r="F8" s="14" t="n">
        <v>0.329</v>
      </c>
      <c r="G8" s="14" t="n">
        <v>0.332</v>
      </c>
      <c r="H8" s="14" t="n">
        <v>0.336</v>
      </c>
      <c r="I8" s="14" t="n">
        <v>0.338</v>
      </c>
      <c r="J8" s="14" t="n">
        <v>0.339</v>
      </c>
      <c r="K8" s="14" t="n">
        <v>0.34</v>
      </c>
    </row>
    <row r="9">
      <c r="A9" s="3" t="inlineStr">
        <is>
          <t>Tax rate (assumed)</t>
        </is>
      </c>
      <c r="B9" s="14" t="n">
        <v>0.1</v>
      </c>
      <c r="C9" s="14" t="n">
        <v>0.15</v>
      </c>
      <c r="D9" s="14" t="n">
        <v>0.17</v>
      </c>
      <c r="E9" s="14" t="n">
        <v>0.17</v>
      </c>
      <c r="F9" s="14" t="n">
        <v>0.17</v>
      </c>
      <c r="G9" s="14" t="n">
        <v>0.18</v>
      </c>
      <c r="H9" s="14" t="n">
        <v>0.18</v>
      </c>
      <c r="I9" s="14" t="n">
        <v>0.19</v>
      </c>
      <c r="J9" s="14" t="n">
        <v>0.19</v>
      </c>
      <c r="K9" s="14" t="n">
        <v>0.2</v>
      </c>
    </row>
    <row r="10">
      <c r="A10" s="15" t="inlineStr">
        <is>
          <t>NOPAT = EBIT × (1 - tax)</t>
        </is>
      </c>
      <c r="B10" s="10" t="n">
        <v>7200</v>
      </c>
      <c r="C10" s="10" t="n">
        <v>12325</v>
      </c>
      <c r="D10" s="10" t="n">
        <v>17264</v>
      </c>
      <c r="E10" s="10" t="n">
        <v>21082</v>
      </c>
      <c r="F10" s="10" t="n">
        <v>23821</v>
      </c>
      <c r="G10" s="10" t="n">
        <v>25584</v>
      </c>
      <c r="H10" s="10" t="n">
        <v>27716</v>
      </c>
      <c r="I10" s="10" t="n">
        <v>29160</v>
      </c>
      <c r="J10" s="10" t="n">
        <v>30618</v>
      </c>
      <c r="K10" s="10" t="n">
        <v>31520</v>
      </c>
    </row>
    <row r="11">
      <c r="A11" s="15" t="inlineStr">
        <is>
          <t>+ D&amp;A</t>
        </is>
      </c>
      <c r="B11" s="10" t="n">
        <v>2700</v>
      </c>
      <c r="C11" s="10" t="n">
        <v>2400</v>
      </c>
      <c r="D11" s="10" t="n">
        <v>2200</v>
      </c>
      <c r="E11" s="10" t="n">
        <v>2100</v>
      </c>
      <c r="F11" s="10" t="n">
        <v>2000</v>
      </c>
      <c r="G11" s="10" t="n">
        <v>2200</v>
      </c>
      <c r="H11" s="10" t="n">
        <v>2400</v>
      </c>
      <c r="I11" s="10" t="n">
        <v>2600</v>
      </c>
      <c r="J11" s="10" t="n">
        <v>2700</v>
      </c>
      <c r="K11" s="10" t="n">
        <v>2800</v>
      </c>
    </row>
    <row r="12">
      <c r="A12" s="15" t="inlineStr">
        <is>
          <t>- CapEx</t>
        </is>
      </c>
      <c r="B12" s="10" t="n">
        <v>-1500</v>
      </c>
      <c r="C12" s="10" t="n">
        <v>-2000</v>
      </c>
      <c r="D12" s="10" t="n">
        <v>-2200</v>
      </c>
      <c r="E12" s="10" t="n">
        <v>-2300</v>
      </c>
      <c r="F12" s="10" t="n">
        <v>-2400</v>
      </c>
      <c r="G12" s="10" t="n">
        <v>-2500</v>
      </c>
      <c r="H12" s="10" t="n">
        <v>-2700</v>
      </c>
      <c r="I12" s="10" t="n">
        <v>-2800</v>
      </c>
      <c r="J12" s="10" t="n">
        <v>-2900</v>
      </c>
      <c r="K12" s="10" t="n">
        <v>-3000</v>
      </c>
    </row>
    <row r="13">
      <c r="A13" s="15" t="inlineStr">
        <is>
          <t>- Change in NWC</t>
        </is>
      </c>
      <c r="B13" s="10" t="n">
        <v>-1600</v>
      </c>
      <c r="C13" s="10" t="n">
        <v>-2300</v>
      </c>
      <c r="D13" s="10" t="n">
        <v>-1700</v>
      </c>
      <c r="E13" s="10" t="n">
        <v>-1200</v>
      </c>
      <c r="F13" s="10" t="n">
        <v>-800</v>
      </c>
      <c r="G13" s="10" t="n">
        <v>-700</v>
      </c>
      <c r="H13" s="10" t="n">
        <v>-700</v>
      </c>
      <c r="I13" s="10" t="n">
        <v>-600</v>
      </c>
      <c r="J13" s="10" t="n">
        <v>-500</v>
      </c>
      <c r="K13" s="10" t="n">
        <v>-400</v>
      </c>
    </row>
    <row r="14">
      <c r="A14" s="3" t="inlineStr">
        <is>
          <t>Unlevered FCF</t>
        </is>
      </c>
      <c r="B14" s="11" t="n">
        <v>6800</v>
      </c>
      <c r="C14" s="11" t="n">
        <v>10425</v>
      </c>
      <c r="D14" s="11" t="n">
        <v>15564</v>
      </c>
      <c r="E14" s="11" t="n">
        <v>19682</v>
      </c>
      <c r="F14" s="11" t="n">
        <v>22621</v>
      </c>
      <c r="G14" s="11" t="n">
        <v>24584</v>
      </c>
      <c r="H14" s="11" t="n">
        <v>26716</v>
      </c>
      <c r="I14" s="11" t="n">
        <v>28360</v>
      </c>
      <c r="J14" s="11" t="n">
        <v>29918</v>
      </c>
      <c r="K14" s="11" t="n">
        <v>30920</v>
      </c>
    </row>
    <row r="15">
      <c r="A15" s="3" t="inlineStr">
        <is>
          <t>WACC discount factor (10.0%)</t>
        </is>
      </c>
      <c r="B15" s="29" t="n">
        <v>0.909</v>
      </c>
      <c r="C15" s="29" t="n">
        <v>0.826</v>
      </c>
      <c r="D15" s="29" t="n">
        <v>0.751</v>
      </c>
      <c r="E15" s="29" t="n">
        <v>0.6830000000000001</v>
      </c>
      <c r="F15" s="29" t="n">
        <v>0.621</v>
      </c>
      <c r="G15" s="29" t="n">
        <v>0.5639999999999999</v>
      </c>
      <c r="H15" s="29" t="n">
        <v>0.513</v>
      </c>
      <c r="I15" s="29" t="n">
        <v>0.467</v>
      </c>
      <c r="J15" s="29" t="n">
        <v>0.424</v>
      </c>
      <c r="K15" s="29" t="n">
        <v>0.386</v>
      </c>
    </row>
    <row r="16">
      <c r="A16" s="15" t="inlineStr">
        <is>
          <t>PV of FCF</t>
        </is>
      </c>
      <c r="B16" s="10" t="n">
        <v>6182</v>
      </c>
      <c r="C16" s="10" t="n">
        <v>8615</v>
      </c>
      <c r="D16" s="10" t="n">
        <v>11689</v>
      </c>
      <c r="E16" s="10" t="n">
        <v>13443</v>
      </c>
      <c r="F16" s="10" t="n">
        <v>14050</v>
      </c>
      <c r="G16" s="10" t="n">
        <v>13877</v>
      </c>
      <c r="H16" s="10" t="n">
        <v>13702</v>
      </c>
      <c r="I16" s="10" t="n">
        <v>13252</v>
      </c>
      <c r="J16" s="10" t="n">
        <v>12683</v>
      </c>
      <c r="K16" s="10" t="n">
        <v>11932</v>
      </c>
    </row>
    <row r="19">
      <c r="A19" s="20" t="inlineStr">
        <is>
          <t>WACC Components</t>
        </is>
      </c>
    </row>
    <row r="20">
      <c r="A20" s="15" t="inlineStr">
        <is>
          <t>Risk-free rate (10Y Treasury, 2026-05-20)</t>
        </is>
      </c>
      <c r="B20" s="14" t="n">
        <v>0.043</v>
      </c>
    </row>
    <row r="21">
      <c r="A21" s="15" t="inlineStr">
        <is>
          <t>Equity risk premium</t>
        </is>
      </c>
      <c r="B21" s="14" t="n">
        <v>0.055</v>
      </c>
    </row>
    <row r="22">
      <c r="A22" s="15" t="inlineStr">
        <is>
          <t>Levered beta</t>
        </is>
      </c>
      <c r="B22" s="19" t="n">
        <v>1.85</v>
      </c>
    </row>
    <row r="23">
      <c r="A23" s="15" t="inlineStr">
        <is>
          <t>Cost of equity (CAPM)</t>
        </is>
      </c>
      <c r="B23" s="14" t="n">
        <v>0.145</v>
      </c>
    </row>
    <row r="24">
      <c r="A24" s="15" t="inlineStr">
        <is>
          <t>After-tax cost of debt</t>
        </is>
      </c>
      <c r="B24" s="14" t="n">
        <v>0.045</v>
      </c>
    </row>
    <row r="25">
      <c r="A25" s="15" t="inlineStr">
        <is>
          <t>Weight of equity (market value)</t>
        </is>
      </c>
      <c r="B25" s="14" t="n">
        <v>0.988</v>
      </c>
    </row>
    <row r="26">
      <c r="A26" s="15" t="inlineStr">
        <is>
          <t>Weight of debt (book value)</t>
        </is>
      </c>
      <c r="B26" s="14" t="n">
        <v>0.012</v>
      </c>
    </row>
    <row r="27">
      <c r="A27" s="3" t="inlineStr">
        <is>
          <t>Weighted Average Cost of Capital (WACC)</t>
        </is>
      </c>
      <c r="B27" s="30" t="n">
        <v>0.144</v>
      </c>
    </row>
    <row r="28">
      <c r="A28" s="3" t="inlineStr">
        <is>
          <t>Rounded WACC used in DCF</t>
        </is>
      </c>
      <c r="B28" s="30" t="n">
        <v>0.1</v>
      </c>
    </row>
    <row r="29">
      <c r="A29" s="15" t="inlineStr">
        <is>
          <t>Terminal growth rate</t>
        </is>
      </c>
      <c r="B29" s="30" t="n">
        <v>0.035</v>
      </c>
    </row>
  </sheetData>
  <mergeCells count="1">
    <mergeCell ref="A19:C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AMD DCF — Base Case</t>
        </is>
      </c>
    </row>
    <row r="2">
      <c r="A2" s="4" t="inlineStr">
        <is>
          <t>USD millions except per-share. WACC = 10.0%, terminal growth = 3.0%.</t>
        </is>
      </c>
    </row>
    <row r="4">
      <c r="A4" s="20" t="inlineStr">
        <is>
          <t>Year</t>
        </is>
      </c>
      <c r="B4" s="20" t="inlineStr">
        <is>
          <t>FY2026E</t>
        </is>
      </c>
      <c r="C4" s="20" t="inlineStr">
        <is>
          <t>FY2027E</t>
        </is>
      </c>
      <c r="D4" s="20" t="inlineStr">
        <is>
          <t>FY2028E</t>
        </is>
      </c>
      <c r="E4" s="20" t="inlineStr">
        <is>
          <t>FY2029E</t>
        </is>
      </c>
      <c r="F4" s="20" t="inlineStr">
        <is>
          <t>FY2030E</t>
        </is>
      </c>
      <c r="G4" s="20" t="inlineStr">
        <is>
          <t>FY2031E</t>
        </is>
      </c>
      <c r="H4" s="20" t="inlineStr">
        <is>
          <t>FY2032E</t>
        </is>
      </c>
      <c r="I4" s="20" t="inlineStr">
        <is>
          <t>FY2033E</t>
        </is>
      </c>
      <c r="J4" s="20" t="inlineStr">
        <is>
          <t>FY2034E</t>
        </is>
      </c>
      <c r="K4" s="20" t="inlineStr">
        <is>
          <t>FY2035E</t>
        </is>
      </c>
    </row>
    <row r="5">
      <c r="A5" s="15" t="inlineStr">
        <is>
          <t>Revenue</t>
        </is>
      </c>
      <c r="B5" s="10" t="n">
        <v>43800</v>
      </c>
      <c r="C5" s="10" t="n">
        <v>58400</v>
      </c>
      <c r="D5" s="10" t="n">
        <v>72100</v>
      </c>
      <c r="E5" s="10" t="n">
        <v>81000</v>
      </c>
      <c r="F5" s="10" t="n">
        <v>87200</v>
      </c>
      <c r="G5" s="10" t="n">
        <v>94000</v>
      </c>
      <c r="H5" s="10" t="n">
        <v>100500</v>
      </c>
      <c r="I5" s="10" t="n">
        <v>106500</v>
      </c>
      <c r="J5" s="10" t="n">
        <v>111500</v>
      </c>
      <c r="K5" s="10" t="n">
        <v>116000</v>
      </c>
    </row>
    <row r="6">
      <c r="A6" s="3" t="inlineStr">
        <is>
          <t>EBIT</t>
        </is>
      </c>
      <c r="B6" s="11" t="n">
        <v>8000</v>
      </c>
      <c r="C6" s="11" t="n">
        <v>14500</v>
      </c>
      <c r="D6" s="11" t="n">
        <v>20800</v>
      </c>
      <c r="E6" s="11" t="n">
        <v>25400</v>
      </c>
      <c r="F6" s="11" t="n">
        <v>28700</v>
      </c>
      <c r="G6" s="11" t="n">
        <v>31200</v>
      </c>
      <c r="H6" s="11" t="n">
        <v>33800</v>
      </c>
      <c r="I6" s="11" t="n">
        <v>36000</v>
      </c>
      <c r="J6" s="11" t="n">
        <v>37800</v>
      </c>
      <c r="K6" s="11" t="n">
        <v>39400</v>
      </c>
    </row>
    <row r="7">
      <c r="A7" s="15" t="inlineStr">
        <is>
          <t>EBIT margin</t>
        </is>
      </c>
      <c r="B7" s="14" t="n">
        <v>0.182648401826484</v>
      </c>
      <c r="C7" s="14" t="n">
        <v>0.2482876712328767</v>
      </c>
      <c r="D7" s="14" t="n">
        <v>0.2884882108183079</v>
      </c>
      <c r="E7" s="14" t="n">
        <v>0.3135802469135803</v>
      </c>
      <c r="F7" s="14" t="n">
        <v>0.3291284403669725</v>
      </c>
      <c r="G7" s="14" t="n">
        <v>0.3319148936170213</v>
      </c>
      <c r="H7" s="14" t="n">
        <v>0.336318407960199</v>
      </c>
      <c r="I7" s="14" t="n">
        <v>0.3380281690140845</v>
      </c>
      <c r="J7" s="14" t="n">
        <v>0.3390134529147982</v>
      </c>
      <c r="K7" s="14" t="n">
        <v>0.3396551724137931</v>
      </c>
    </row>
    <row r="8">
      <c r="A8" s="15" t="inlineStr">
        <is>
          <t>Tax rate</t>
        </is>
      </c>
      <c r="B8" s="14" t="n">
        <v>0.1</v>
      </c>
      <c r="C8" s="14" t="n">
        <v>0.15</v>
      </c>
      <c r="D8" s="14" t="n">
        <v>0.17</v>
      </c>
      <c r="E8" s="14" t="n">
        <v>0.17</v>
      </c>
      <c r="F8" s="14" t="n">
        <v>0.17</v>
      </c>
      <c r="G8" s="14" t="n">
        <v>0.18</v>
      </c>
      <c r="H8" s="14" t="n">
        <v>0.18</v>
      </c>
      <c r="I8" s="14" t="n">
        <v>0.19</v>
      </c>
      <c r="J8" s="14" t="n">
        <v>0.19</v>
      </c>
      <c r="K8" s="14" t="n">
        <v>0.2</v>
      </c>
    </row>
    <row r="9">
      <c r="A9" s="3" t="inlineStr">
        <is>
          <t>NOPAT</t>
        </is>
      </c>
      <c r="B9" s="11" t="n">
        <v>7200</v>
      </c>
      <c r="C9" s="11" t="n">
        <v>12325</v>
      </c>
      <c r="D9" s="11" t="n">
        <v>17264</v>
      </c>
      <c r="E9" s="11" t="n">
        <v>21082</v>
      </c>
      <c r="F9" s="11" t="n">
        <v>23821</v>
      </c>
      <c r="G9" s="11" t="n">
        <v>25584</v>
      </c>
      <c r="H9" s="11" t="n">
        <v>27716</v>
      </c>
      <c r="I9" s="11" t="n">
        <v>29160</v>
      </c>
      <c r="J9" s="11" t="n">
        <v>30618</v>
      </c>
      <c r="K9" s="11" t="n">
        <v>31520</v>
      </c>
    </row>
    <row r="10">
      <c r="A10" s="15" t="inlineStr">
        <is>
          <t>+ D&amp;A</t>
        </is>
      </c>
      <c r="B10" s="10" t="n">
        <v>2700</v>
      </c>
      <c r="C10" s="10" t="n">
        <v>2400</v>
      </c>
      <c r="D10" s="10" t="n">
        <v>2200</v>
      </c>
      <c r="E10" s="10" t="n">
        <v>2100</v>
      </c>
      <c r="F10" s="10" t="n">
        <v>2000</v>
      </c>
      <c r="G10" s="10" t="n">
        <v>2200</v>
      </c>
      <c r="H10" s="10" t="n">
        <v>2400</v>
      </c>
      <c r="I10" s="10" t="n">
        <v>2600</v>
      </c>
      <c r="J10" s="10" t="n">
        <v>2700</v>
      </c>
      <c r="K10" s="10" t="n">
        <v>2800</v>
      </c>
    </row>
    <row r="11">
      <c r="A11" s="15" t="inlineStr">
        <is>
          <t>- CapEx</t>
        </is>
      </c>
      <c r="B11" s="10" t="n">
        <v>-1500</v>
      </c>
      <c r="C11" s="10" t="n">
        <v>-2000</v>
      </c>
      <c r="D11" s="10" t="n">
        <v>-2200</v>
      </c>
      <c r="E11" s="10" t="n">
        <v>-2300</v>
      </c>
      <c r="F11" s="10" t="n">
        <v>-2400</v>
      </c>
      <c r="G11" s="10" t="n">
        <v>-2500</v>
      </c>
      <c r="H11" s="10" t="n">
        <v>-2700</v>
      </c>
      <c r="I11" s="10" t="n">
        <v>-2800</v>
      </c>
      <c r="J11" s="10" t="n">
        <v>-2900</v>
      </c>
      <c r="K11" s="10" t="n">
        <v>-3000</v>
      </c>
    </row>
    <row r="12">
      <c r="A12" s="15" t="inlineStr">
        <is>
          <t>- Δ NWC</t>
        </is>
      </c>
      <c r="B12" s="10" t="n">
        <v>-1600</v>
      </c>
      <c r="C12" s="10" t="n">
        <v>-2300</v>
      </c>
      <c r="D12" s="10" t="n">
        <v>-1700</v>
      </c>
      <c r="E12" s="10" t="n">
        <v>-1200</v>
      </c>
      <c r="F12" s="10" t="n">
        <v>-800</v>
      </c>
      <c r="G12" s="10" t="n">
        <v>-700</v>
      </c>
      <c r="H12" s="10" t="n">
        <v>-700</v>
      </c>
      <c r="I12" s="10" t="n">
        <v>-600</v>
      </c>
      <c r="J12" s="10" t="n">
        <v>-500</v>
      </c>
      <c r="K12" s="10" t="n">
        <v>-400</v>
      </c>
    </row>
    <row r="13">
      <c r="A13" s="3" t="inlineStr">
        <is>
          <t>Unlevered FCF</t>
        </is>
      </c>
      <c r="B13" s="11" t="n">
        <v>6800</v>
      </c>
      <c r="C13" s="11" t="n">
        <v>10425</v>
      </c>
      <c r="D13" s="11" t="n">
        <v>15564</v>
      </c>
      <c r="E13" s="11" t="n">
        <v>19682</v>
      </c>
      <c r="F13" s="11" t="n">
        <v>22621</v>
      </c>
      <c r="G13" s="11" t="n">
        <v>24584</v>
      </c>
      <c r="H13" s="11" t="n">
        <v>26716</v>
      </c>
      <c r="I13" s="11" t="n">
        <v>28360</v>
      </c>
      <c r="J13" s="11" t="n">
        <v>29918</v>
      </c>
      <c r="K13" s="11" t="n">
        <v>30920</v>
      </c>
    </row>
    <row r="14">
      <c r="A14" s="15" t="inlineStr">
        <is>
          <t>Discount factor (mid-year)</t>
        </is>
      </c>
      <c r="B14" s="29" t="n">
        <v>1.048808848170152</v>
      </c>
      <c r="C14" s="29" t="n">
        <v>1.153689732987167</v>
      </c>
      <c r="D14" s="29" t="n">
        <v>1.269058706285884</v>
      </c>
      <c r="E14" s="29" t="n">
        <v>1.395964576914472</v>
      </c>
      <c r="F14" s="29" t="n">
        <v>1.535561034605919</v>
      </c>
      <c r="G14" s="29" t="n">
        <v>1.689117138066512</v>
      </c>
      <c r="H14" s="29" t="n">
        <v>1.858028851873163</v>
      </c>
      <c r="I14" s="29" t="n">
        <v>2.043831737060479</v>
      </c>
      <c r="J14" s="29" t="n">
        <v>2.248214910766527</v>
      </c>
      <c r="K14" s="29" t="n">
        <v>2.473036401843181</v>
      </c>
    </row>
    <row r="15">
      <c r="A15" s="3" t="inlineStr">
        <is>
          <t>PV of FCF</t>
        </is>
      </c>
      <c r="B15" s="11" t="n">
        <v>6483.545606870027</v>
      </c>
      <c r="C15" s="11" t="n">
        <v>9036.224993532089</v>
      </c>
      <c r="D15" s="11" t="n">
        <v>12264.20804877553</v>
      </c>
      <c r="E15" s="11" t="n">
        <v>14099.21163150394</v>
      </c>
      <c r="F15" s="11" t="n">
        <v>14731.42355803875</v>
      </c>
      <c r="G15" s="11" t="n">
        <v>14554.34880504538</v>
      </c>
      <c r="H15" s="11" t="n">
        <v>14378.67876651452</v>
      </c>
      <c r="I15" s="11" t="n">
        <v>13875.8976513343</v>
      </c>
      <c r="J15" s="11" t="n">
        <v>13307.44665766827</v>
      </c>
      <c r="K15" s="11" t="n">
        <v>12502.84871543136</v>
      </c>
    </row>
    <row r="17">
      <c r="A17" s="20" t="inlineStr">
        <is>
          <t>Valuation Build-Up</t>
        </is>
      </c>
    </row>
    <row r="18">
      <c r="A18" s="15" t="inlineStr">
        <is>
          <t>Sum PV of explicit-period FCF (FY26-35)</t>
        </is>
      </c>
      <c r="B18" s="10" t="n">
        <v>125233.8344347142</v>
      </c>
    </row>
    <row r="19">
      <c r="A19" s="15" t="inlineStr">
        <is>
          <t>Terminal value (Gordon growth, g=3.0%)</t>
        </is>
      </c>
      <c r="B19" s="10" t="n">
        <v>454965.7142857143</v>
      </c>
    </row>
    <row r="20">
      <c r="A20" s="15" t="inlineStr">
        <is>
          <t>PV of terminal value</t>
        </is>
      </c>
      <c r="B20" s="10" t="n">
        <v>183970.4882413471</v>
      </c>
    </row>
    <row r="21">
      <c r="A21" s="3" t="inlineStr">
        <is>
          <t>Enterprise Value</t>
        </is>
      </c>
      <c r="B21" s="11" t="n">
        <v>309204.3226760613</v>
      </c>
    </row>
    <row r="22">
      <c r="A22" s="15" t="inlineStr">
        <is>
          <t>+ Cash &amp; short-term investments (FY25)</t>
        </is>
      </c>
      <c r="B22" s="10" t="n">
        <v>10552</v>
      </c>
    </row>
    <row r="23">
      <c r="A23" s="15" t="inlineStr">
        <is>
          <t>- Total debt (FY25)</t>
        </is>
      </c>
      <c r="B23" s="10" t="n">
        <v>3222</v>
      </c>
    </row>
    <row r="24">
      <c r="A24" s="3" t="inlineStr">
        <is>
          <t>Equity Value</t>
        </is>
      </c>
      <c r="B24" s="11" t="n">
        <v>316534.3226760613</v>
      </c>
    </row>
    <row r="25">
      <c r="A25" s="15" t="inlineStr">
        <is>
          <t>Diluted shares (M)</t>
        </is>
      </c>
      <c r="B25" s="10" t="n">
        <v>1635</v>
      </c>
    </row>
    <row r="26">
      <c r="A26" s="3" t="inlineStr">
        <is>
          <t>Implied price per share (USD)</t>
        </is>
      </c>
      <c r="B26" s="31" t="n">
        <v>193.598974113799</v>
      </c>
    </row>
    <row r="27">
      <c r="A27" s="15" t="inlineStr">
        <is>
          <t>Current price (2026-05-20)</t>
        </is>
      </c>
      <c r="B27" s="17" t="n">
        <v>444.28</v>
      </c>
    </row>
    <row r="28">
      <c r="A28" s="3" t="inlineStr">
        <is>
          <t>Implied upside / (downside)</t>
        </is>
      </c>
      <c r="B28" s="30" t="n">
        <v>-0.5642410774426061</v>
      </c>
    </row>
  </sheetData>
  <mergeCells count="1">
    <mergeCell ref="A17:D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 — Implied price per share</t>
        </is>
      </c>
    </row>
    <row r="2">
      <c r="A2" s="4" t="inlineStr">
        <is>
          <t>Rows = WACC; Columns = Terminal growth. Base case: WACC 10%, g 3%.</t>
        </is>
      </c>
    </row>
    <row r="4">
      <c r="A4" s="20" t="inlineStr">
        <is>
          <t>WACC \ g</t>
        </is>
      </c>
      <c r="B4" s="32" t="n">
        <v>0.02</v>
      </c>
      <c r="C4" s="32" t="n">
        <v>0.025</v>
      </c>
      <c r="D4" s="32" t="n">
        <v>0.03</v>
      </c>
      <c r="E4" s="32" t="n">
        <v>0.035</v>
      </c>
      <c r="F4" s="32" t="n">
        <v>0.04</v>
      </c>
      <c r="G4" s="32" t="n">
        <v>0.045</v>
      </c>
      <c r="H4" s="32" t="n">
        <v>0.05</v>
      </c>
    </row>
    <row r="5">
      <c r="A5" s="32" t="n">
        <v>0.075</v>
      </c>
      <c r="B5" s="33" t="n">
        <v>267.7367460532188</v>
      </c>
      <c r="C5" s="33" t="n">
        <v>286.3313568513303</v>
      </c>
      <c r="D5" s="33" t="n">
        <v>309.0581033823554</v>
      </c>
      <c r="E5" s="33" t="n">
        <v>337.4665365461368</v>
      </c>
      <c r="F5" s="33" t="n">
        <v>373.99166489957</v>
      </c>
      <c r="G5" s="33" t="n">
        <v>422.6918360374809</v>
      </c>
      <c r="H5" s="33" t="n">
        <v>490.8720756305564</v>
      </c>
    </row>
    <row r="6">
      <c r="A6" s="32" t="n">
        <v>0.08500000000000001</v>
      </c>
      <c r="B6" s="33" t="n">
        <v>223.7126339262607</v>
      </c>
      <c r="C6" s="33" t="n">
        <v>235.8318450440675</v>
      </c>
      <c r="D6" s="33" t="n">
        <v>250.1545490923848</v>
      </c>
      <c r="E6" s="33" t="n">
        <v>267.3417939503655</v>
      </c>
      <c r="F6" s="33" t="n">
        <v>288.3484265545641</v>
      </c>
      <c r="G6" s="33" t="n">
        <v>314.6067173098124</v>
      </c>
      <c r="H6" s="33" t="n">
        <v>348.3673768522746</v>
      </c>
    </row>
    <row r="7">
      <c r="A7" s="32" t="n">
        <v>0.095</v>
      </c>
      <c r="B7" s="33" t="n">
        <v>191.5808333457393</v>
      </c>
      <c r="C7" s="33" t="n">
        <v>199.908290678511</v>
      </c>
      <c r="D7" s="33" t="n">
        <v>209.5168952932477</v>
      </c>
      <c r="E7" s="33" t="n">
        <v>220.7269340104405</v>
      </c>
      <c r="F7" s="33" t="n">
        <v>233.9751615853047</v>
      </c>
      <c r="G7" s="33" t="n">
        <v>249.8730346751417</v>
      </c>
      <c r="H7" s="33" t="n">
        <v>269.3037684516092</v>
      </c>
    </row>
    <row r="8">
      <c r="A8" s="32" t="n">
        <v>0.1</v>
      </c>
      <c r="B8" s="33" t="n">
        <v>178.5780767929443</v>
      </c>
      <c r="C8" s="33" t="n">
        <v>185.5878288760098</v>
      </c>
      <c r="D8" s="34" t="n">
        <v>193.598974113799</v>
      </c>
      <c r="E8" s="33" t="n">
        <v>202.8426032343249</v>
      </c>
      <c r="F8" s="33" t="n">
        <v>213.6268372082718</v>
      </c>
      <c r="G8" s="33" t="n">
        <v>226.3718409956636</v>
      </c>
      <c r="H8" s="33" t="n">
        <v>241.6658455405338</v>
      </c>
    </row>
    <row r="9">
      <c r="A9" s="32" t="n">
        <v>0.105</v>
      </c>
      <c r="B9" s="33" t="n">
        <v>167.1355788780297</v>
      </c>
      <c r="C9" s="33" t="n">
        <v>173.0867639553219</v>
      </c>
      <c r="D9" s="33" t="n">
        <v>179.8314403762531</v>
      </c>
      <c r="E9" s="33" t="n">
        <v>187.5396420001745</v>
      </c>
      <c r="F9" s="33" t="n">
        <v>196.4337207970069</v>
      </c>
      <c r="G9" s="33" t="n">
        <v>206.8101460599779</v>
      </c>
      <c r="H9" s="33" t="n">
        <v>219.0731940980347</v>
      </c>
    </row>
    <row r="10">
      <c r="A10" s="32" t="n">
        <v>0.115</v>
      </c>
      <c r="B10" s="33" t="n">
        <v>147.9425314919932</v>
      </c>
      <c r="C10" s="33" t="n">
        <v>152.3267202599487</v>
      </c>
      <c r="D10" s="33" t="n">
        <v>157.2266959417813</v>
      </c>
      <c r="E10" s="33" t="n">
        <v>162.739168583843</v>
      </c>
      <c r="F10" s="33" t="n">
        <v>168.9866375781795</v>
      </c>
      <c r="G10" s="33" t="n">
        <v>176.1266021431356</v>
      </c>
      <c r="H10" s="33" t="n">
        <v>184.3650227950081</v>
      </c>
    </row>
    <row r="11">
      <c r="A11" s="32" t="n">
        <v>0.125</v>
      </c>
      <c r="B11" s="33" t="n">
        <v>132.4951963022961</v>
      </c>
      <c r="C11" s="33" t="n">
        <v>135.8042665948785</v>
      </c>
      <c r="D11" s="33" t="n">
        <v>139.4616600761539</v>
      </c>
      <c r="E11" s="33" t="n">
        <v>143.5254306109042</v>
      </c>
      <c r="F11" s="33" t="n">
        <v>148.0672917968017</v>
      </c>
      <c r="G11" s="33" t="n">
        <v>153.1768856309363</v>
      </c>
      <c r="H11" s="33" t="n">
        <v>158.9677586429556</v>
      </c>
    </row>
    <row r="14">
      <c r="A14" s="20" t="inlineStr">
        <is>
          <t>Implied Upside / (Downside) from $444.28</t>
        </is>
      </c>
    </row>
    <row r="15">
      <c r="A15" s="20" t="inlineStr">
        <is>
          <t>WACC \ g</t>
        </is>
      </c>
      <c r="B15" s="32" t="n">
        <v>0.02</v>
      </c>
      <c r="C15" s="32" t="n">
        <v>0.025</v>
      </c>
      <c r="D15" s="32" t="n">
        <v>0.03</v>
      </c>
      <c r="E15" s="32" t="n">
        <v>0.035</v>
      </c>
      <c r="F15" s="32" t="n">
        <v>0.04</v>
      </c>
      <c r="G15" s="32" t="n">
        <v>0.045</v>
      </c>
      <c r="H15" s="32" t="n">
        <v>0.05</v>
      </c>
    </row>
    <row r="16">
      <c r="A16" s="32" t="n">
        <v>0.075</v>
      </c>
      <c r="B16" s="35" t="n">
        <v>-0.3973693480390321</v>
      </c>
      <c r="C16" s="35" t="n">
        <v>-0.3555159880000669</v>
      </c>
      <c r="D16" s="35" t="n">
        <v>-0.304361881285776</v>
      </c>
      <c r="E16" s="35" t="n">
        <v>-0.2404192478929127</v>
      </c>
      <c r="F16" s="35" t="n">
        <v>-0.1582072906735166</v>
      </c>
      <c r="G16" s="35" t="n">
        <v>-0.04859134771432216</v>
      </c>
      <c r="H16" s="35" t="n">
        <v>0.1048709724285504</v>
      </c>
    </row>
    <row r="17">
      <c r="A17" s="32" t="n">
        <v>0.08500000000000001</v>
      </c>
      <c r="B17" s="35" t="n">
        <v>-0.49646026396358</v>
      </c>
      <c r="C17" s="35" t="n">
        <v>-0.4691819459708573</v>
      </c>
      <c r="D17" s="35" t="n">
        <v>-0.4369439337976392</v>
      </c>
      <c r="E17" s="35" t="n">
        <v>-0.3982583191897777</v>
      </c>
      <c r="F17" s="35" t="n">
        <v>-0.3509759013357249</v>
      </c>
      <c r="G17" s="35" t="n">
        <v>-0.2918728790181587</v>
      </c>
      <c r="H17" s="35" t="n">
        <v>-0.2158832788955735</v>
      </c>
    </row>
    <row r="18">
      <c r="A18" s="32" t="n">
        <v>0.095</v>
      </c>
      <c r="B18" s="35" t="n">
        <v>-0.5687835748947977</v>
      </c>
      <c r="C18" s="35" t="n">
        <v>-0.5500398607218172</v>
      </c>
      <c r="D18" s="35" t="n">
        <v>-0.528412498214532</v>
      </c>
      <c r="E18" s="35" t="n">
        <v>-0.5031805752893659</v>
      </c>
      <c r="F18" s="35" t="n">
        <v>-0.4733610300141696</v>
      </c>
      <c r="G18" s="35" t="n">
        <v>-0.4375775756839342</v>
      </c>
      <c r="H18" s="35" t="n">
        <v>-0.3938422426136462</v>
      </c>
    </row>
    <row r="19">
      <c r="A19" s="32" t="n">
        <v>0.1</v>
      </c>
      <c r="B19" s="35" t="n">
        <v>-0.598050605940073</v>
      </c>
      <c r="C19" s="35" t="n">
        <v>-0.5822728259745886</v>
      </c>
      <c r="D19" s="35" t="n">
        <v>-0.5642410774426061</v>
      </c>
      <c r="E19" s="35" t="n">
        <v>-0.5434352137518572</v>
      </c>
      <c r="F19" s="35" t="n">
        <v>-0.5191617061126501</v>
      </c>
      <c r="G19" s="35" t="n">
        <v>-0.4904748334481327</v>
      </c>
      <c r="H19" s="35" t="n">
        <v>-0.4560505862507117</v>
      </c>
    </row>
    <row r="20">
      <c r="A20" s="32" t="n">
        <v>0.105</v>
      </c>
      <c r="B20" s="35" t="n">
        <v>-0.6238057556540253</v>
      </c>
      <c r="C20" s="35" t="n">
        <v>-0.6104106330347485</v>
      </c>
      <c r="D20" s="35" t="n">
        <v>-0.595229494066235</v>
      </c>
      <c r="E20" s="35" t="n">
        <v>-0.5778796209593622</v>
      </c>
      <c r="F20" s="35" t="n">
        <v>-0.5578605366052785</v>
      </c>
      <c r="G20" s="35" t="n">
        <v>-0.5345049381921807</v>
      </c>
      <c r="H20" s="35" t="n">
        <v>-0.5069028673403378</v>
      </c>
    </row>
    <row r="21">
      <c r="A21" s="32" t="n">
        <v>0.115</v>
      </c>
      <c r="B21" s="35" t="n">
        <v>-0.6670060963986828</v>
      </c>
      <c r="C21" s="35" t="n">
        <v>-0.657138020482694</v>
      </c>
      <c r="D21" s="35" t="n">
        <v>-0.6461089944589419</v>
      </c>
      <c r="E21" s="35" t="n">
        <v>-0.6337013401822207</v>
      </c>
      <c r="F21" s="35" t="n">
        <v>-0.6196393320019367</v>
      </c>
      <c r="G21" s="35" t="n">
        <v>-0.6035684655101836</v>
      </c>
      <c r="H21" s="35" t="n">
        <v>-0.5850251580196991</v>
      </c>
    </row>
    <row r="22">
      <c r="A22" s="32" t="n">
        <v>0.125</v>
      </c>
      <c r="B22" s="35" t="n">
        <v>-0.7017754652419733</v>
      </c>
      <c r="C22" s="35" t="n">
        <v>-0.6943273012629906</v>
      </c>
      <c r="D22" s="35" t="n">
        <v>-0.6860951200230623</v>
      </c>
      <c r="E22" s="35" t="n">
        <v>-0.6769482519786976</v>
      </c>
      <c r="F22" s="35" t="n">
        <v>-0.6667252818114664</v>
      </c>
      <c r="G22" s="35" t="n">
        <v>-0.6552244403733314</v>
      </c>
      <c r="H22" s="35" t="n">
        <v>-0.6421901534101115</v>
      </c>
    </row>
  </sheetData>
  <mergeCells count="1">
    <mergeCell ref="A14:H14"/>
  </mergeCells>
  <conditionalFormatting sqref="B5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6:H22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Comparable Companies — Semiconductors (as of 2026-05-20)</t>
        </is>
      </c>
    </row>
    <row r="2">
      <c r="A2" s="4" t="inlineStr">
        <is>
          <t>Source: Yahoo Finance key statistics and consensus estimates. Multiples are forward where indicated.</t>
        </is>
      </c>
    </row>
    <row r="4" ht="32" customHeight="1">
      <c r="A4" s="36" t="inlineStr">
        <is>
          <t>Ticker</t>
        </is>
      </c>
      <c r="B4" s="36" t="inlineStr">
        <is>
          <t>Company</t>
        </is>
      </c>
      <c r="C4" s="36" t="inlineStr">
        <is>
          <t>Market Cap ($B)</t>
        </is>
      </c>
      <c r="D4" s="36" t="inlineStr">
        <is>
          <t>EV ($B)</t>
        </is>
      </c>
      <c r="E4" s="36" t="inlineStr">
        <is>
          <t>TTM Rev ($B)</t>
        </is>
      </c>
      <c r="F4" s="36" t="inlineStr">
        <is>
          <t>FY+1 Rev ($B)</t>
        </is>
      </c>
      <c r="G4" s="36" t="inlineStr">
        <is>
          <t>FY+2 Rev ($B)</t>
        </is>
      </c>
      <c r="H4" s="36" t="inlineStr">
        <is>
          <t>TTM Gross Margin</t>
        </is>
      </c>
      <c r="I4" s="36" t="inlineStr">
        <is>
          <t>TTM Op Margin</t>
        </is>
      </c>
      <c r="J4" s="36" t="inlineStr">
        <is>
          <t>TTM Net Margin</t>
        </is>
      </c>
      <c r="K4" s="36" t="inlineStr">
        <is>
          <t>TTM P/E</t>
        </is>
      </c>
      <c r="L4" s="36" t="inlineStr">
        <is>
          <t>FY+1 P/E</t>
        </is>
      </c>
      <c r="M4" s="36" t="inlineStr">
        <is>
          <t>FY+2 P/E</t>
        </is>
      </c>
      <c r="N4" s="36" t="inlineStr">
        <is>
          <t>TTM EV/Rev</t>
        </is>
      </c>
      <c r="O4" s="36" t="inlineStr">
        <is>
          <t>FY+1 EV/Rev</t>
        </is>
      </c>
      <c r="P4" s="36" t="inlineStr">
        <is>
          <t>TTM EV/EBITDA</t>
        </is>
      </c>
      <c r="Q4" s="36" t="inlineStr">
        <is>
          <t>FY+1 EV/EBITDA</t>
        </is>
      </c>
      <c r="R4" s="36" t="inlineStr">
        <is>
          <t>PEG</t>
        </is>
      </c>
      <c r="S4" s="36" t="inlineStr">
        <is>
          <t>Beta</t>
        </is>
      </c>
      <c r="T4" s="36" t="inlineStr">
        <is>
          <t>Dividend Yield</t>
        </is>
      </c>
    </row>
    <row r="5">
      <c r="A5" s="37" t="inlineStr">
        <is>
          <t>NVDA</t>
        </is>
      </c>
      <c r="B5" s="38" t="inlineStr">
        <is>
          <t>NVIDIA</t>
        </is>
      </c>
      <c r="C5" s="39" t="n">
        <v>5392</v>
      </c>
      <c r="D5" s="39" t="n">
        <v>5350</v>
      </c>
      <c r="E5" s="39" t="n">
        <v>215.7</v>
      </c>
      <c r="F5" s="39" t="n">
        <v>280</v>
      </c>
      <c r="G5" s="39" t="n">
        <v>360</v>
      </c>
      <c r="H5" s="40" t="n">
        <v>0.755</v>
      </c>
      <c r="I5" s="40" t="n">
        <v>0.62</v>
      </c>
      <c r="J5" s="40" t="n">
        <v>0.5600000000000001</v>
      </c>
      <c r="K5" s="41" t="n">
        <v>45</v>
      </c>
      <c r="L5" s="41" t="n">
        <v>19</v>
      </c>
      <c r="M5" s="41" t="n">
        <v>14.5</v>
      </c>
      <c r="N5" s="41" t="n">
        <v>24.8</v>
      </c>
      <c r="O5" s="41" t="n">
        <v>19.1</v>
      </c>
      <c r="P5" s="41" t="n">
        <v>32</v>
      </c>
      <c r="Q5" s="41" t="n">
        <v>18.5</v>
      </c>
      <c r="R5" s="41" t="n">
        <v>0.65</v>
      </c>
      <c r="S5" s="41" t="n">
        <v>1.85</v>
      </c>
      <c r="T5" s="40" t="n">
        <v>0.0001</v>
      </c>
    </row>
    <row r="6">
      <c r="A6" s="37" t="inlineStr">
        <is>
          <t>AVGO</t>
        </is>
      </c>
      <c r="B6" s="38" t="inlineStr">
        <is>
          <t>Broadcom</t>
        </is>
      </c>
      <c r="C6" s="39" t="n">
        <v>1979</v>
      </c>
      <c r="D6" s="39" t="n">
        <v>2050</v>
      </c>
      <c r="E6" s="39" t="n">
        <v>68.2</v>
      </c>
      <c r="F6" s="39" t="n">
        <v>78</v>
      </c>
      <c r="G6" s="39" t="n">
        <v>92</v>
      </c>
      <c r="H6" s="40" t="n">
        <v>0.7</v>
      </c>
      <c r="I6" s="40" t="n">
        <v>0.45</v>
      </c>
      <c r="J6" s="40" t="n">
        <v>0.38</v>
      </c>
      <c r="K6" s="41" t="n">
        <v>81</v>
      </c>
      <c r="L6" s="41" t="n">
        <v>23</v>
      </c>
      <c r="M6" s="41" t="n">
        <v>18.5</v>
      </c>
      <c r="N6" s="41" t="n">
        <v>30.1</v>
      </c>
      <c r="O6" s="41" t="n">
        <v>26.3</v>
      </c>
      <c r="P6" s="41" t="n">
        <v>40</v>
      </c>
      <c r="Q6" s="41" t="n">
        <v>22</v>
      </c>
      <c r="R6" s="41" t="n">
        <v>0.95</v>
      </c>
      <c r="S6" s="41" t="n">
        <v>1.2</v>
      </c>
      <c r="T6" s="40" t="n">
        <v>0.008</v>
      </c>
    </row>
    <row r="7">
      <c r="A7" s="37" t="inlineStr">
        <is>
          <t>INTC</t>
        </is>
      </c>
      <c r="B7" s="38" t="inlineStr">
        <is>
          <t>Intel</t>
        </is>
      </c>
      <c r="C7" s="39" t="n">
        <v>593</v>
      </c>
      <c r="D7" s="39" t="n">
        <v>660</v>
      </c>
      <c r="E7" s="39" t="n">
        <v>56</v>
      </c>
      <c r="F7" s="39" t="n">
        <v>62</v>
      </c>
      <c r="G7" s="39" t="n">
        <v>70</v>
      </c>
      <c r="H7" s="40" t="n">
        <v>0.38</v>
      </c>
      <c r="I7" s="40" t="n">
        <v>-0.06</v>
      </c>
      <c r="J7" s="40" t="n">
        <v>-0.04</v>
      </c>
      <c r="K7" s="41" t="n"/>
      <c r="L7" s="41" t="n">
        <v>77</v>
      </c>
      <c r="M7" s="41" t="n">
        <v>30</v>
      </c>
      <c r="N7" s="41" t="n">
        <v>11.8</v>
      </c>
      <c r="O7" s="41" t="n">
        <v>10.6</v>
      </c>
      <c r="P7" s="41" t="n">
        <v>32</v>
      </c>
      <c r="Q7" s="41" t="n">
        <v>16</v>
      </c>
      <c r="R7" s="41" t="n"/>
      <c r="S7" s="41" t="n">
        <v>0.95</v>
      </c>
      <c r="T7" s="40" t="n">
        <v>0</v>
      </c>
    </row>
    <row r="8">
      <c r="A8" s="37" t="inlineStr">
        <is>
          <t>MRVL</t>
        </is>
      </c>
      <c r="B8" s="38" t="inlineStr">
        <is>
          <t>Marvell</t>
        </is>
      </c>
      <c r="C8" s="39" t="n">
        <v>112</v>
      </c>
      <c r="D8" s="39" t="n">
        <v>118</v>
      </c>
      <c r="E8" s="39" t="n">
        <v>8.199999999999999</v>
      </c>
      <c r="F8" s="39" t="n">
        <v>9.6</v>
      </c>
      <c r="G8" s="39" t="n">
        <v>11.5</v>
      </c>
      <c r="H8" s="40" t="n">
        <v>0.5600000000000001</v>
      </c>
      <c r="I8" s="40" t="n">
        <v>0.18</v>
      </c>
      <c r="J8" s="40" t="n">
        <v>0.11</v>
      </c>
      <c r="K8" s="41" t="n">
        <v>95</v>
      </c>
      <c r="L8" s="41" t="n">
        <v>32</v>
      </c>
      <c r="M8" s="41" t="n">
        <v>22.5</v>
      </c>
      <c r="N8" s="41" t="n">
        <v>14.4</v>
      </c>
      <c r="O8" s="41" t="n">
        <v>12.3</v>
      </c>
      <c r="P8" s="41" t="n">
        <v>28</v>
      </c>
      <c r="Q8" s="41" t="n">
        <v>18.5</v>
      </c>
      <c r="R8" s="41" t="n">
        <v>0.85</v>
      </c>
      <c r="S8" s="41" t="n">
        <v>1.35</v>
      </c>
      <c r="T8" s="40" t="n">
        <v>0.003</v>
      </c>
    </row>
    <row r="9">
      <c r="A9" s="37" t="inlineStr">
        <is>
          <t>QCOM</t>
        </is>
      </c>
      <c r="B9" s="38" t="inlineStr">
        <is>
          <t>Qualcomm</t>
        </is>
      </c>
      <c r="C9" s="39" t="n">
        <v>234</v>
      </c>
      <c r="D9" s="39" t="n">
        <v>246</v>
      </c>
      <c r="E9" s="39" t="n">
        <v>43.8</v>
      </c>
      <c r="F9" s="39" t="n">
        <v>48.5</v>
      </c>
      <c r="G9" s="39" t="n">
        <v>53</v>
      </c>
      <c r="H9" s="40" t="n">
        <v>0.58</v>
      </c>
      <c r="I9" s="40" t="n">
        <v>0.29</v>
      </c>
      <c r="J9" s="40" t="n">
        <v>0.26</v>
      </c>
      <c r="K9" s="41" t="n">
        <v>18.5</v>
      </c>
      <c r="L9" s="41" t="n">
        <v>16.5</v>
      </c>
      <c r="M9" s="41" t="n">
        <v>14.5</v>
      </c>
      <c r="N9" s="41" t="n">
        <v>5.6</v>
      </c>
      <c r="O9" s="41" t="n">
        <v>5.1</v>
      </c>
      <c r="P9" s="41" t="n">
        <v>12.5</v>
      </c>
      <c r="Q9" s="41" t="n">
        <v>10.5</v>
      </c>
      <c r="R9" s="41" t="n">
        <v>1.2</v>
      </c>
      <c r="S9" s="41" t="n">
        <v>1.3</v>
      </c>
      <c r="T9" s="40" t="n">
        <v>0.021</v>
      </c>
    </row>
    <row r="10">
      <c r="A10" s="37" t="inlineStr">
        <is>
          <t>TXN</t>
        </is>
      </c>
      <c r="B10" s="38" t="inlineStr">
        <is>
          <t>Texas Instruments</t>
        </is>
      </c>
      <c r="C10" s="39" t="n">
        <v>195</v>
      </c>
      <c r="D10" s="39" t="n">
        <v>210</v>
      </c>
      <c r="E10" s="39" t="n">
        <v>17.2</v>
      </c>
      <c r="F10" s="39" t="n">
        <v>19</v>
      </c>
      <c r="G10" s="39" t="n">
        <v>21.5</v>
      </c>
      <c r="H10" s="40" t="n">
        <v>0.58</v>
      </c>
      <c r="I10" s="40" t="n">
        <v>0.4</v>
      </c>
      <c r="J10" s="40" t="n">
        <v>0.31</v>
      </c>
      <c r="K10" s="41" t="n">
        <v>41</v>
      </c>
      <c r="L10" s="41" t="n">
        <v>35</v>
      </c>
      <c r="M10" s="41" t="n">
        <v>28.5</v>
      </c>
      <c r="N10" s="41" t="n">
        <v>12.2</v>
      </c>
      <c r="O10" s="41" t="n">
        <v>11.1</v>
      </c>
      <c r="P10" s="41" t="n">
        <v>22</v>
      </c>
      <c r="Q10" s="41" t="n">
        <v>19.5</v>
      </c>
      <c r="R10" s="41" t="n">
        <v>1.4</v>
      </c>
      <c r="S10" s="41" t="n">
        <v>1.1</v>
      </c>
      <c r="T10" s="40" t="n">
        <v>0.027</v>
      </c>
    </row>
    <row r="11">
      <c r="A11" s="37" t="inlineStr">
        <is>
          <t>ADI</t>
        </is>
      </c>
      <c r="B11" s="38" t="inlineStr">
        <is>
          <t>Analog Devices</t>
        </is>
      </c>
      <c r="C11" s="39" t="n">
        <v>123</v>
      </c>
      <c r="D11" s="39" t="n">
        <v>130</v>
      </c>
      <c r="E11" s="39" t="n">
        <v>10.8</v>
      </c>
      <c r="F11" s="39" t="n">
        <v>12.5</v>
      </c>
      <c r="G11" s="39" t="n">
        <v>14.2</v>
      </c>
      <c r="H11" s="40" t="n">
        <v>0.66</v>
      </c>
      <c r="I11" s="40" t="n">
        <v>0.33</v>
      </c>
      <c r="J11" s="40" t="n">
        <v>0.22</v>
      </c>
      <c r="K11" s="41" t="n">
        <v>56</v>
      </c>
      <c r="L11" s="41" t="n">
        <v>30</v>
      </c>
      <c r="M11" s="41" t="n">
        <v>25</v>
      </c>
      <c r="N11" s="41" t="n">
        <v>12</v>
      </c>
      <c r="O11" s="41" t="n">
        <v>10.4</v>
      </c>
      <c r="P11" s="41" t="n">
        <v>22.5</v>
      </c>
      <c r="Q11" s="41" t="n">
        <v>19</v>
      </c>
      <c r="R11" s="41" t="n">
        <v>1.4</v>
      </c>
      <c r="S11" s="41" t="n">
        <v>1.05</v>
      </c>
      <c r="T11" s="40" t="n">
        <v>0.019</v>
      </c>
    </row>
    <row r="12">
      <c r="A12" s="37" t="inlineStr">
        <is>
          <t>MU</t>
        </is>
      </c>
      <c r="B12" s="38" t="inlineStr">
        <is>
          <t>Micron</t>
        </is>
      </c>
      <c r="C12" s="39" t="n">
        <v>165</v>
      </c>
      <c r="D12" s="39" t="n">
        <v>175</v>
      </c>
      <c r="E12" s="39" t="n">
        <v>38.5</v>
      </c>
      <c r="F12" s="39" t="n">
        <v>47</v>
      </c>
      <c r="G12" s="39" t="n">
        <v>55</v>
      </c>
      <c r="H12" s="40" t="n">
        <v>0.33</v>
      </c>
      <c r="I12" s="40" t="n">
        <v>0.21</v>
      </c>
      <c r="J12" s="40" t="n">
        <v>0.18</v>
      </c>
      <c r="K12" s="41" t="n">
        <v>23.5</v>
      </c>
      <c r="L12" s="41" t="n">
        <v>11.5</v>
      </c>
      <c r="M12" s="41" t="n">
        <v>9.5</v>
      </c>
      <c r="N12" s="41" t="n">
        <v>4.5</v>
      </c>
      <c r="O12" s="41" t="n">
        <v>3.7</v>
      </c>
      <c r="P12" s="41" t="n">
        <v>9.5</v>
      </c>
      <c r="Q12" s="41" t="n">
        <v>7.5</v>
      </c>
      <c r="R12" s="41" t="n">
        <v>0.4</v>
      </c>
      <c r="S12" s="41" t="n">
        <v>1.55</v>
      </c>
      <c r="T12" s="40" t="n">
        <v>0.004</v>
      </c>
    </row>
    <row r="13">
      <c r="A13" s="37" t="inlineStr">
        <is>
          <t>ARM</t>
        </is>
      </c>
      <c r="B13" s="38" t="inlineStr">
        <is>
          <t>Arm Holdings</t>
        </is>
      </c>
      <c r="C13" s="39" t="n">
        <v>180</v>
      </c>
      <c r="D13" s="39" t="n">
        <v>178</v>
      </c>
      <c r="E13" s="39" t="n">
        <v>4.4</v>
      </c>
      <c r="F13" s="39" t="n">
        <v>5.6</v>
      </c>
      <c r="G13" s="39" t="n">
        <v>7.2</v>
      </c>
      <c r="H13" s="40" t="n">
        <v>0.96</v>
      </c>
      <c r="I13" s="40" t="n">
        <v>0.25</v>
      </c>
      <c r="J13" s="40" t="n">
        <v>0.22</v>
      </c>
      <c r="K13" s="41" t="n"/>
      <c r="L13" s="41" t="n">
        <v>78</v>
      </c>
      <c r="M13" s="41" t="n">
        <v>60</v>
      </c>
      <c r="N13" s="41" t="n">
        <v>40.5</v>
      </c>
      <c r="O13" s="41" t="n">
        <v>31.8</v>
      </c>
      <c r="P13" s="41" t="n">
        <v>90</v>
      </c>
      <c r="Q13" s="41" t="n">
        <v>60</v>
      </c>
      <c r="R13" s="41" t="n">
        <v>1.8</v>
      </c>
      <c r="S13" s="41" t="n">
        <v>1.45</v>
      </c>
      <c r="T13" s="40" t="n">
        <v>0</v>
      </c>
    </row>
    <row r="14">
      <c r="A14" s="42" t="inlineStr">
        <is>
          <t>AMD</t>
        </is>
      </c>
      <c r="B14" s="42" t="inlineStr">
        <is>
          <t>Advanced Micro Devices</t>
        </is>
      </c>
      <c r="C14" s="43" t="n">
        <v>724</v>
      </c>
      <c r="D14" s="43" t="n">
        <v>716.7</v>
      </c>
      <c r="E14" s="43" t="n">
        <v>36.7</v>
      </c>
      <c r="F14" s="43" t="n">
        <v>43.8</v>
      </c>
      <c r="G14" s="43" t="n">
        <v>58.4</v>
      </c>
      <c r="H14" s="44" t="n">
        <v>0.495</v>
      </c>
      <c r="I14" s="44" t="n">
        <v>0.107</v>
      </c>
      <c r="J14" s="44" t="n">
        <v>0.125</v>
      </c>
      <c r="K14" s="45" t="n">
        <v>149</v>
      </c>
      <c r="L14" s="45" t="n">
        <v>34</v>
      </c>
      <c r="M14" s="45" t="n">
        <v>18.5</v>
      </c>
      <c r="N14" s="45" t="n">
        <v>19.6</v>
      </c>
      <c r="O14" s="45" t="n">
        <v>16.4</v>
      </c>
      <c r="P14" s="45" t="n">
        <v>53</v>
      </c>
      <c r="Q14" s="45" t="n">
        <v>24</v>
      </c>
      <c r="R14" s="45" t="n">
        <v>1.3</v>
      </c>
      <c r="S14" s="45" t="n">
        <v>1.85</v>
      </c>
      <c r="T14" s="44" t="n">
        <v>0</v>
      </c>
    </row>
    <row r="16">
      <c r="A16" s="20" t="inlineStr">
        <is>
          <t>Statistical Summary (peers ex-AMD)</t>
        </is>
      </c>
    </row>
    <row r="17">
      <c r="A17" s="8" t="inlineStr">
        <is>
          <t>Max</t>
        </is>
      </c>
      <c r="C17" s="46" t="n">
        <v>5392</v>
      </c>
      <c r="D17" s="46" t="n">
        <v>5350</v>
      </c>
      <c r="E17" s="46" t="n">
        <v>215.7</v>
      </c>
      <c r="F17" s="46" t="n">
        <v>280</v>
      </c>
      <c r="G17" s="46" t="n">
        <v>360</v>
      </c>
      <c r="H17" s="47" t="n">
        <v>0.96</v>
      </c>
      <c r="I17" s="47" t="n">
        <v>0.62</v>
      </c>
      <c r="J17" s="47" t="n">
        <v>0.5600000000000001</v>
      </c>
      <c r="K17" s="48" t="n">
        <v>95</v>
      </c>
      <c r="L17" s="48" t="n">
        <v>78</v>
      </c>
      <c r="M17" s="48" t="n">
        <v>60</v>
      </c>
      <c r="N17" s="48" t="n">
        <v>40.5</v>
      </c>
      <c r="O17" s="48" t="n">
        <v>31.8</v>
      </c>
      <c r="P17" s="48" t="n">
        <v>90</v>
      </c>
      <c r="Q17" s="48" t="n">
        <v>60</v>
      </c>
      <c r="R17" s="48" t="n">
        <v>1.8</v>
      </c>
      <c r="S17" s="48" t="n">
        <v>1.85</v>
      </c>
      <c r="T17" s="47" t="n">
        <v>0.027</v>
      </c>
    </row>
    <row r="18">
      <c r="A18" s="8" t="inlineStr">
        <is>
          <t>75th percentile</t>
        </is>
      </c>
      <c r="C18" s="46" t="n">
        <v>593</v>
      </c>
      <c r="D18" s="46" t="n">
        <v>660</v>
      </c>
      <c r="E18" s="46" t="n">
        <v>56</v>
      </c>
      <c r="F18" s="46" t="n">
        <v>62</v>
      </c>
      <c r="G18" s="46" t="n">
        <v>70</v>
      </c>
      <c r="H18" s="47" t="n">
        <v>0.7</v>
      </c>
      <c r="I18" s="47" t="n">
        <v>0.4</v>
      </c>
      <c r="J18" s="47" t="n">
        <v>0.31</v>
      </c>
      <c r="K18" s="48" t="n">
        <v>81</v>
      </c>
      <c r="L18" s="48" t="n">
        <v>35</v>
      </c>
      <c r="M18" s="48" t="n">
        <v>28.5</v>
      </c>
      <c r="N18" s="48" t="n">
        <v>24.8</v>
      </c>
      <c r="O18" s="48" t="n">
        <v>19.1</v>
      </c>
      <c r="P18" s="48" t="n">
        <v>32</v>
      </c>
      <c r="Q18" s="48" t="n">
        <v>19.5</v>
      </c>
      <c r="R18" s="48" t="n">
        <v>1.4</v>
      </c>
      <c r="S18" s="48" t="n">
        <v>1.45</v>
      </c>
      <c r="T18" s="47" t="n">
        <v>0.019</v>
      </c>
    </row>
    <row r="19">
      <c r="A19" s="8" t="inlineStr">
        <is>
          <t>Median</t>
        </is>
      </c>
      <c r="C19" s="46" t="n">
        <v>195</v>
      </c>
      <c r="D19" s="46" t="n">
        <v>210</v>
      </c>
      <c r="E19" s="46" t="n">
        <v>38.5</v>
      </c>
      <c r="F19" s="46" t="n">
        <v>47</v>
      </c>
      <c r="G19" s="46" t="n">
        <v>53</v>
      </c>
      <c r="H19" s="47" t="n">
        <v>0.58</v>
      </c>
      <c r="I19" s="47" t="n">
        <v>0.29</v>
      </c>
      <c r="J19" s="47" t="n">
        <v>0.22</v>
      </c>
      <c r="K19" s="48" t="n">
        <v>45</v>
      </c>
      <c r="L19" s="48" t="n">
        <v>30</v>
      </c>
      <c r="M19" s="48" t="n">
        <v>22.5</v>
      </c>
      <c r="N19" s="48" t="n">
        <v>12.2</v>
      </c>
      <c r="O19" s="48" t="n">
        <v>11.1</v>
      </c>
      <c r="P19" s="48" t="n">
        <v>28</v>
      </c>
      <c r="Q19" s="48" t="n">
        <v>18.5</v>
      </c>
      <c r="R19" s="48" t="n">
        <v>1.075</v>
      </c>
      <c r="S19" s="48" t="n">
        <v>1.3</v>
      </c>
      <c r="T19" s="47" t="n">
        <v>0.004</v>
      </c>
    </row>
    <row r="20">
      <c r="A20" s="8" t="inlineStr">
        <is>
          <t>25th percentile</t>
        </is>
      </c>
      <c r="C20" s="46" t="n">
        <v>165</v>
      </c>
      <c r="D20" s="46" t="n">
        <v>175</v>
      </c>
      <c r="E20" s="46" t="n">
        <v>10.8</v>
      </c>
      <c r="F20" s="46" t="n">
        <v>12.5</v>
      </c>
      <c r="G20" s="46" t="n">
        <v>14.2</v>
      </c>
      <c r="H20" s="47" t="n">
        <v>0.5600000000000001</v>
      </c>
      <c r="I20" s="47" t="n">
        <v>0.21</v>
      </c>
      <c r="J20" s="47" t="n">
        <v>0.18</v>
      </c>
      <c r="K20" s="48" t="n">
        <v>23.5</v>
      </c>
      <c r="L20" s="48" t="n">
        <v>19</v>
      </c>
      <c r="M20" s="48" t="n">
        <v>14.5</v>
      </c>
      <c r="N20" s="48" t="n">
        <v>11.8</v>
      </c>
      <c r="O20" s="48" t="n">
        <v>10.4</v>
      </c>
      <c r="P20" s="48" t="n">
        <v>22</v>
      </c>
      <c r="Q20" s="48" t="n">
        <v>16</v>
      </c>
      <c r="R20" s="48" t="n">
        <v>0.85</v>
      </c>
      <c r="S20" s="48" t="n">
        <v>1.1</v>
      </c>
      <c r="T20" s="47" t="n">
        <v>0.0001</v>
      </c>
    </row>
    <row r="21">
      <c r="A21" s="8" t="inlineStr">
        <is>
          <t>Min</t>
        </is>
      </c>
      <c r="C21" s="46" t="n">
        <v>112</v>
      </c>
      <c r="D21" s="46" t="n">
        <v>118</v>
      </c>
      <c r="E21" s="46" t="n">
        <v>4.4</v>
      </c>
      <c r="F21" s="46" t="n">
        <v>5.6</v>
      </c>
      <c r="G21" s="46" t="n">
        <v>7.2</v>
      </c>
      <c r="H21" s="47" t="n">
        <v>0.33</v>
      </c>
      <c r="I21" s="47" t="n">
        <v>-0.06</v>
      </c>
      <c r="J21" s="47" t="n">
        <v>-0.04</v>
      </c>
      <c r="K21" s="48" t="n">
        <v>18.5</v>
      </c>
      <c r="L21" s="48" t="n">
        <v>11.5</v>
      </c>
      <c r="M21" s="48" t="n">
        <v>9.5</v>
      </c>
      <c r="N21" s="48" t="n">
        <v>4.5</v>
      </c>
      <c r="O21" s="48" t="n">
        <v>3.7</v>
      </c>
      <c r="P21" s="48" t="n">
        <v>9.5</v>
      </c>
      <c r="Q21" s="48" t="n">
        <v>7.5</v>
      </c>
      <c r="R21" s="48" t="n">
        <v>0.4</v>
      </c>
      <c r="S21" s="48" t="n">
        <v>0.95</v>
      </c>
      <c r="T21" s="47" t="n">
        <v>0</v>
      </c>
    </row>
  </sheetData>
  <mergeCells count="1">
    <mergeCell ref="A16:T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Valuation Summary — Football Field</t>
        </is>
      </c>
    </row>
    <row r="2">
      <c r="A2" s="4" t="inlineStr">
        <is>
          <t>Blended price target and methodology weights. All ranges 12-month forward.</t>
        </is>
      </c>
    </row>
    <row r="4">
      <c r="A4" s="20" t="inlineStr">
        <is>
          <t>Methodology</t>
        </is>
      </c>
      <c r="B4" s="20" t="inlineStr">
        <is>
          <t>Low ($)</t>
        </is>
      </c>
      <c r="C4" s="20" t="inlineStr">
        <is>
          <t>Mid ($)</t>
        </is>
      </c>
      <c r="D4" s="20" t="inlineStr">
        <is>
          <t>High ($)</t>
        </is>
      </c>
      <c r="E4" s="20" t="inlineStr">
        <is>
          <t>Weight</t>
        </is>
      </c>
      <c r="F4" s="20" t="inlineStr">
        <is>
          <t>Weighted Mid</t>
        </is>
      </c>
    </row>
    <row r="5">
      <c r="A5" s="49" t="inlineStr">
        <is>
          <t>DCF — base case 10% WACC / 3% g</t>
        </is>
      </c>
      <c r="B5" s="50" t="n">
        <v>180</v>
      </c>
      <c r="C5" s="50" t="n">
        <v>200</v>
      </c>
      <c r="D5" s="50" t="n">
        <v>225</v>
      </c>
      <c r="E5" s="14" t="n">
        <v>0.1</v>
      </c>
      <c r="F5" s="50" t="n">
        <v>20</v>
      </c>
    </row>
    <row r="6">
      <c r="A6" s="49" t="inlineStr">
        <is>
          <t>DCF — bull case 8% WACC / 4% g</t>
        </is>
      </c>
      <c r="B6" s="50" t="n">
        <v>380</v>
      </c>
      <c r="C6" s="50" t="n">
        <v>450</v>
      </c>
      <c r="D6" s="50" t="n">
        <v>525</v>
      </c>
      <c r="E6" s="14" t="n">
        <v>0.15</v>
      </c>
      <c r="F6" s="50" t="n">
        <v>67.5</v>
      </c>
    </row>
    <row r="7">
      <c r="A7" s="49" t="inlineStr">
        <is>
          <t>Forward P/E — FY27 EPS $7.40 × 50-70× peer range</t>
        </is>
      </c>
      <c r="B7" s="50" t="n">
        <v>370</v>
      </c>
      <c r="C7" s="50" t="n">
        <v>480</v>
      </c>
      <c r="D7" s="50" t="n">
        <v>550</v>
      </c>
      <c r="E7" s="14" t="n">
        <v>0.25</v>
      </c>
      <c r="F7" s="50" t="n">
        <v>120</v>
      </c>
    </row>
    <row r="8">
      <c r="A8" s="49" t="inlineStr">
        <is>
          <t>EV/Revenue — FY27 Rev $58B × 14-22× peer range</t>
        </is>
      </c>
      <c r="B8" s="50" t="n">
        <v>495</v>
      </c>
      <c r="C8" s="50" t="n">
        <v>640</v>
      </c>
      <c r="D8" s="50" t="n">
        <v>790</v>
      </c>
      <c r="E8" s="14" t="n">
        <v>0.2</v>
      </c>
      <c r="F8" s="50" t="n">
        <v>128</v>
      </c>
    </row>
    <row r="9">
      <c r="A9" s="49" t="inlineStr">
        <is>
          <t>Peer comp implied — FY+1 multiples vs. NVDA discount</t>
        </is>
      </c>
      <c r="B9" s="50" t="n">
        <v>380</v>
      </c>
      <c r="C9" s="50" t="n">
        <v>470</v>
      </c>
      <c r="D9" s="50" t="n">
        <v>580</v>
      </c>
      <c r="E9" s="14" t="n">
        <v>0.2</v>
      </c>
      <c r="F9" s="50" t="n">
        <v>94</v>
      </c>
    </row>
    <row r="10">
      <c r="A10" s="49" t="inlineStr">
        <is>
          <t>Precedent transactions — semis M&amp;A multiples</t>
        </is>
      </c>
      <c r="B10" s="50" t="n">
        <v>300</v>
      </c>
      <c r="C10" s="50" t="n">
        <v>380</v>
      </c>
      <c r="D10" s="50" t="n">
        <v>450</v>
      </c>
      <c r="E10" s="14" t="n">
        <v>0.1</v>
      </c>
      <c r="F10" s="50" t="n">
        <v>38</v>
      </c>
    </row>
    <row r="12">
      <c r="A12" s="3" t="inlineStr">
        <is>
          <t>WEIGHTED PRICE TARGET</t>
        </is>
      </c>
      <c r="B12" s="51" t="n">
        <v>467.5</v>
      </c>
    </row>
    <row r="13">
      <c r="A13" s="3" t="inlineStr">
        <is>
          <t>Rounded 12-month price target</t>
        </is>
      </c>
      <c r="B13" s="51" t="n">
        <v>480</v>
      </c>
    </row>
    <row r="14">
      <c r="A14" s="3" t="inlineStr">
        <is>
          <t>Current price (2026-05-20)</t>
        </is>
      </c>
      <c r="B14" s="52" t="n">
        <v>444.28</v>
      </c>
    </row>
    <row r="15">
      <c r="A15" s="3" t="inlineStr">
        <is>
          <t>Implied upside</t>
        </is>
      </c>
      <c r="B15" s="53" t="n">
        <v>0.08039974790672555</v>
      </c>
    </row>
    <row r="16">
      <c r="A16" s="3" t="inlineStr">
        <is>
          <t>Recommendation</t>
        </is>
      </c>
      <c r="B16" s="54" t="inlineStr">
        <is>
          <t>OVERWEIGHT / BUY</t>
        </is>
      </c>
    </row>
    <row r="19">
      <c r="A19" s="20" t="inlineStr">
        <is>
          <t>Key Catalysts (next 12 months)</t>
        </is>
      </c>
    </row>
    <row r="20">
      <c r="A20" s="55" t="inlineStr">
        <is>
          <t>• Q2-FY2026 earnings (early-Aug 2026) — guide above $11.2B confirms MI355X ramp</t>
        </is>
      </c>
    </row>
    <row r="21">
      <c r="A21" s="55" t="inlineStr">
        <is>
          <t>• MI450 series GA and first OpenAI 1-GW deployment go-live (2H FY2026)</t>
        </is>
      </c>
    </row>
    <row r="22">
      <c r="A22" s="55" t="inlineStr">
        <is>
          <t>• Q3/Q4-FY2026 EPYC Turin server-CPU share data (Mercury Research) — 40%+ unit share</t>
        </is>
      </c>
    </row>
    <row r="23">
      <c r="A23" s="55" t="inlineStr">
        <is>
          <t>• ROCm 7 / 8 frontier-model validation milestones from OpenAI / Meta / Anthropic</t>
        </is>
      </c>
    </row>
    <row r="24">
      <c r="A24" s="55" t="inlineStr">
        <is>
          <t>• Confirmation or expansion of OpenAI 6 GW deployment timeline (any color is constructive)</t>
        </is>
      </c>
    </row>
    <row r="25">
      <c r="A25" s="55" t="inlineStr">
        <is>
          <t>• Resolution of MI308 China export-license situation (upside if removed; downside if extended to MI355X/MI450)</t>
        </is>
      </c>
    </row>
    <row r="26">
      <c r="A26" s="55" t="inlineStr">
        <is>
          <t>• Annual analyst day (December 2026) — refresh of AI accelerator TAM and ROCm milestones</t>
        </is>
      </c>
    </row>
  </sheetData>
  <mergeCells count="8">
    <mergeCell ref="A24:F24"/>
    <mergeCell ref="A19:F19"/>
    <mergeCell ref="A23:F23"/>
    <mergeCell ref="A26:F26"/>
    <mergeCell ref="A22:F22"/>
    <mergeCell ref="A20:F20"/>
    <mergeCell ref="A21:F2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2026-05-20T21:11:53Z</dcterms:created>
  <dcterms:modified xmlns:dcterms="http://purl.org/dc/terms/" xmlns:xsi="http://www.w3.org/2001/XMLSchema-instance" xsi:type="dcterms:W3CDTF">2026-05-20T21:15:40Z</dcterms:modified>
</cp:coreProperties>
</file>