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DCF Inputs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DCF Sensitivity" sheetId="9" state="visible" r:id="rId9"/>
    <sheet xmlns:r="http://schemas.openxmlformats.org/officeDocument/2006/relationships" name="Comparable Companies" sheetId="10" state="visible" r:id="rId10"/>
    <sheet xmlns:r="http://schemas.openxmlformats.org/officeDocument/2006/relationships" name="Valuation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;(0.0%);&quot;-&quot;"/>
    <numFmt numFmtId="165" formatCode="#,##0;(#,##0);&quot;-&quot;"/>
    <numFmt numFmtId="166" formatCode="$#,##0.00;($#,##0.00);&quot;-&quot;"/>
    <numFmt numFmtId="167" formatCode="#,##0.0;(#,##0.0);&quot;-&quot;"/>
    <numFmt numFmtId="168" formatCode="0.0000"/>
    <numFmt numFmtId="169" formatCode="0.0&quot;x&quot;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name val="Calibri"/>
      <b val="1"/>
      <color rgb="00FFFFFF"/>
      <sz val="11"/>
    </font>
    <font>
      <name val="Calibri"/>
      <b val="1"/>
      <color rgb="001F4E78"/>
      <sz val="11"/>
    </font>
    <font>
      <name val="Calibri"/>
      <sz val="11"/>
    </font>
    <font>
      <name val="Calibri"/>
      <b val="1"/>
      <sz val="11"/>
    </font>
    <font>
      <name val="Calibri"/>
      <i val="1"/>
      <color rgb="00595959"/>
      <sz val="11"/>
    </font>
    <font>
      <b val="1"/>
      <color rgb="001F4E78"/>
      <sz val="16"/>
    </font>
    <font>
      <sz val="1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  <border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0" borderId="0" applyAlignment="1" pivotButton="0" quotePrefix="0" xfId="0">
      <alignment horizontal="left" indent="1"/>
    </xf>
    <xf numFmtId="164" fontId="4" fillId="0" borderId="0" applyAlignment="1" pivotButton="0" quotePrefix="0" xfId="0">
      <alignment horizontal="right"/>
    </xf>
    <xf numFmtId="164" fontId="4" fillId="4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4" borderId="0" applyAlignment="1" pivotButton="0" quotePrefix="0" xfId="0">
      <alignment horizontal="right"/>
    </xf>
    <xf numFmtId="0" fontId="5" fillId="5" borderId="0" applyAlignment="1" pivotButton="0" quotePrefix="0" xfId="0">
      <alignment horizontal="left" indent="1"/>
    </xf>
    <xf numFmtId="165" fontId="5" fillId="5" borderId="2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166" fontId="4" fillId="4" borderId="0" applyAlignment="1" pivotButton="0" quotePrefix="0" xfId="0">
      <alignment horizontal="right"/>
    </xf>
    <xf numFmtId="0" fontId="5" fillId="6" borderId="0" pivotButton="0" quotePrefix="0" xfId="0"/>
    <xf numFmtId="165" fontId="0" fillId="6" borderId="0" pivotButton="0" quotePrefix="0" xfId="0"/>
    <xf numFmtId="164" fontId="0" fillId="6" borderId="0" pivotButton="0" quotePrefix="0" xfId="0"/>
    <xf numFmtId="0" fontId="5" fillId="7" borderId="0" pivotButton="0" quotePrefix="0" xfId="0"/>
    <xf numFmtId="165" fontId="0" fillId="7" borderId="0" pivotButton="0" quotePrefix="0" xfId="0"/>
    <xf numFmtId="164" fontId="0" fillId="7" borderId="0" pivotButton="0" quotePrefix="0" xfId="0"/>
    <xf numFmtId="0" fontId="5" fillId="8" borderId="0" pivotButton="0" quotePrefix="0" xfId="0"/>
    <xf numFmtId="165" fontId="0" fillId="8" borderId="0" pivotButton="0" quotePrefix="0" xfId="0"/>
    <xf numFmtId="164" fontId="0" fillId="8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5" fontId="5" fillId="5" borderId="0" applyAlignment="1" pivotButton="0" quotePrefix="0" xfId="0">
      <alignment horizontal="right"/>
    </xf>
    <xf numFmtId="168" fontId="4" fillId="0" borderId="0" applyAlignment="1" pivotButton="0" quotePrefix="0" xfId="0">
      <alignment horizontal="right"/>
    </xf>
    <xf numFmtId="0" fontId="5" fillId="0" borderId="0" pivotButton="0" quotePrefix="0" xfId="0"/>
    <xf numFmtId="165" fontId="5" fillId="0" borderId="0" pivotButton="0" quotePrefix="0" xfId="0"/>
    <xf numFmtId="0" fontId="5" fillId="5" borderId="0" pivotButton="0" quotePrefix="0" xfId="0"/>
    <xf numFmtId="167" fontId="4" fillId="0" borderId="0" applyAlignment="1" pivotButton="0" quotePrefix="0" xfId="0">
      <alignment horizontal="right"/>
    </xf>
    <xf numFmtId="166" fontId="5" fillId="5" borderId="0" applyAlignment="1" pivotButton="0" quotePrefix="0" xfId="0">
      <alignment horizontal="right"/>
    </xf>
    <xf numFmtId="164" fontId="5" fillId="5" borderId="0" applyAlignment="1" pivotButton="0" quotePrefix="0" xfId="0">
      <alignment horizontal="right"/>
    </xf>
    <xf numFmtId="0" fontId="3" fillId="3" borderId="0" pivotButton="0" quotePrefix="0" xfId="0"/>
    <xf numFmtId="0" fontId="2" fillId="2" borderId="0" applyAlignment="1" pivotButton="0" quotePrefix="0" xfId="0">
      <alignment horizontal="center"/>
    </xf>
    <xf numFmtId="166" fontId="0" fillId="0" borderId="0" applyAlignment="1" pivotButton="0" quotePrefix="0" xfId="0">
      <alignment horizontal="right"/>
    </xf>
    <xf numFmtId="169" fontId="5" fillId="5" borderId="0" pivotButton="0" quotePrefix="0" xfId="0"/>
    <xf numFmtId="164" fontId="5" fillId="5" borderId="0" pivotButton="0" quotePrefix="0" xfId="0"/>
    <xf numFmtId="169" fontId="4" fillId="0" borderId="0" pivotButton="0" quotePrefix="0" xfId="0"/>
    <xf numFmtId="164" fontId="4" fillId="0" borderId="0" pivotButton="0" quotePrefix="0" xfId="0"/>
    <xf numFmtId="169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5" fillId="5" borderId="0" pivotButton="0" quotePrefix="0" xfId="0"/>
    <xf numFmtId="49" fontId="5" fillId="5" borderId="0" applyAlignment="1" pivotButton="0" quotePrefix="0" xfId="0">
      <alignment horizontal="right"/>
    </xf>
    <xf numFmtId="49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Synopsys – Financial Model</t>
        </is>
      </c>
    </row>
    <row r="2">
      <c r="A2" s="2" t="inlineStr">
        <is>
          <t>Equity research initiation – Task 2 deliverable</t>
        </is>
      </c>
    </row>
    <row r="4">
      <c r="A4" s="3" t="inlineStr">
        <is>
          <t>Ticker: NASDAQ:SNPS | FY ends October</t>
        </is>
      </c>
    </row>
    <row r="5">
      <c r="A5" s="3" t="inlineStr">
        <is>
          <t>Source: FY2025 10-K (filed 2025-12-22), FY2022 10-K (FY21/FY22 historicals)</t>
        </is>
      </c>
    </row>
    <row r="6">
      <c r="A6" s="3" t="inlineStr">
        <is>
          <t>Currency: USD thousands unless noted</t>
        </is>
      </c>
    </row>
    <row r="7">
      <c r="A7" s="3" t="inlineStr">
        <is>
          <t>Historical years: FY2021-FY2025 (5 yrs)</t>
        </is>
      </c>
    </row>
    <row r="8">
      <c r="A8" s="3" t="inlineStr">
        <is>
          <t>Projection years: FY2026E-FY2030E (5 yrs)</t>
        </is>
      </c>
    </row>
    <row r="9">
      <c r="A9" s="3" t="inlineStr">
        <is>
          <t>IMPORTANT: FY2021-FY2022 totals INCLUDE Software Integrity Group (SIG) divested in FY2024</t>
        </is>
      </c>
    </row>
    <row r="10">
      <c r="A10" s="3" t="inlineStr">
        <is>
          <t>FY2025 is first full quarter consolidation of Ansys (closed Jul 2025 for $34.9B)</t>
        </is>
      </c>
    </row>
    <row r="11">
      <c r="A11" s="3" t="inlineStr">
        <is>
          <t>Key projection assumptions:</t>
        </is>
      </c>
    </row>
    <row r="12">
      <c r="A12" s="3" t="inlineStr">
        <is>
          <t xml:space="preserve">  • Revenue: FY26 $9.61B guidance midpoint (incl. ~$2.9B Ansys full-year), 12-9% growth FY27-30</t>
        </is>
      </c>
    </row>
    <row r="13">
      <c r="A13" s="3" t="inlineStr">
        <is>
          <t xml:space="preserve">  • GAAP op margin: 13% (FY25) → 32% (FY30) as Ansys amortization tails off</t>
        </is>
      </c>
    </row>
    <row r="14">
      <c r="A14" s="3" t="inlineStr">
        <is>
          <t xml:space="preserve">  • Tax rate: 14% (normalized; FY25 was 4% one-off)</t>
        </is>
      </c>
    </row>
    <row r="15">
      <c r="A15" s="3" t="inlineStr">
        <is>
          <t xml:space="preserve">  • Capex: ~2.2% of revenue</t>
        </is>
      </c>
    </row>
    <row r="16">
      <c r="A16" s="3" t="inlineStr">
        <is>
          <t xml:space="preserve">  • Debt: $13.5B → ~$6B by FY30 ($1.5B/yr paydown)</t>
        </is>
      </c>
    </row>
    <row r="17">
      <c r="A17" s="3" t="inlineStr">
        <is>
          <t xml:space="preserve">  • Shares: 195M post-Ansys (16.5% issued to Ansys holders)</t>
        </is>
      </c>
    </row>
    <row r="18">
      <c r="A18" s="3" t="inlineStr">
        <is>
          <t>Segments (FY25): Design Automation $5.30B (75%), Design IP $1.75B (25%)</t>
        </is>
      </c>
    </row>
    <row r="19">
      <c r="A19" s="3" t="inlineStr">
        <is>
          <t>Product mix (FY25): EDA 62%, Design IP 25%, Ansys 11%, Other 2%</t>
        </is>
      </c>
    </row>
    <row r="20">
      <c r="A20" s="3" t="inlineStr">
        <is>
          <t>Geography (FY25): US 44%, Korea 13%, China 12%, Europe 13%, Other 18%</t>
        </is>
      </c>
    </row>
    <row r="21">
      <c r="A21" s="3" t="inlineStr">
        <is>
          <t>Tabs:</t>
        </is>
      </c>
    </row>
    <row r="22">
      <c r="A22" s="3" t="inlineStr">
        <is>
          <t xml:space="preserve">  Revenue Model    – product/segment mix + geographic split</t>
        </is>
      </c>
    </row>
    <row r="23">
      <c r="A23" s="3" t="inlineStr">
        <is>
          <t xml:space="preserve">  Income Statement – 5y historical + 5y projected P&amp;L</t>
        </is>
      </c>
    </row>
    <row r="24">
      <c r="A24" s="3" t="inlineStr">
        <is>
          <t xml:space="preserve">  Cash Flow        – Operating/Investing/Financing + FCF build</t>
        </is>
      </c>
    </row>
    <row r="25">
      <c r="A25" s="3" t="inlineStr">
        <is>
          <t xml:space="preserve">  Balance Sheet    – Assets/Liabilities/Equity (note $26.9B Ansys goodwill / $12.7B intangibles)</t>
        </is>
      </c>
    </row>
    <row r="26">
      <c r="A26" s="3" t="inlineStr">
        <is>
          <t xml:space="preserve">  Scenarios        – Bull/Base/Bear revenue &amp; op-income paths</t>
        </is>
      </c>
    </row>
    <row r="27">
      <c r="A27" s="3" t="inlineStr">
        <is>
          <t xml:space="preserve">  DCF Inputs       – Unlevered FCF, WACC components, backlog ($11.4B) for Task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4" t="inlineStr">
        <is>
          <t>Synopsys – REVENUE MODEL ($000s unless noted)</t>
        </is>
      </c>
    </row>
    <row r="3">
      <c r="A3" s="5" t="inlineStr"/>
      <c r="B3" s="5" t="inlineStr">
        <is>
          <t>FY2021</t>
        </is>
      </c>
      <c r="C3" s="5" t="inlineStr">
        <is>
          <t>FY2022</t>
        </is>
      </c>
      <c r="D3" s="5" t="inlineStr">
        <is>
          <t>FY2023</t>
        </is>
      </c>
      <c r="E3" s="5" t="inlineStr">
        <is>
          <t>FY2024</t>
        </is>
      </c>
      <c r="F3" s="5" t="inlineStr">
        <is>
          <t>FY2025</t>
        </is>
      </c>
      <c r="G3" s="5" t="inlineStr">
        <is>
          <t>FY2026E</t>
        </is>
      </c>
      <c r="H3" s="5" t="inlineStr">
        <is>
          <t>FY2027E</t>
        </is>
      </c>
      <c r="I3" s="5" t="inlineStr">
        <is>
          <t>FY2028E</t>
        </is>
      </c>
      <c r="J3" s="5" t="inlineStr">
        <is>
          <t>FY2029E</t>
        </is>
      </c>
      <c r="K3" s="5" t="inlineStr">
        <is>
          <t>FY2030E</t>
        </is>
      </c>
    </row>
    <row r="4">
      <c r="A4" s="6" t="inlineStr">
        <is>
          <t>PRODUCT MIX (% of total revenue)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>
      <c r="A5" s="8" t="inlineStr">
        <is>
          <t>EDA</t>
        </is>
      </c>
      <c r="B5" s="9" t="n"/>
      <c r="C5" s="9" t="n"/>
      <c r="D5" s="9" t="n">
        <v>0.6919999999999999</v>
      </c>
      <c r="E5" s="9" t="n">
        <v>0.664</v>
      </c>
      <c r="F5" s="9" t="n">
        <v>0.62</v>
      </c>
      <c r="G5" s="10" t="n">
        <v>0.555</v>
      </c>
      <c r="H5" s="10" t="n">
        <v>0.555</v>
      </c>
      <c r="I5" s="10" t="n">
        <v>0.555</v>
      </c>
      <c r="J5" s="10" t="n">
        <v>0.555</v>
      </c>
      <c r="K5" s="10" t="n">
        <v>0.555</v>
      </c>
    </row>
    <row r="6">
      <c r="A6" s="8" t="inlineStr">
        <is>
          <t>Design IP</t>
        </is>
      </c>
      <c r="B6" s="9" t="n"/>
      <c r="C6" s="9" t="n"/>
      <c r="D6" s="9" t="n">
        <v>0.29</v>
      </c>
      <c r="E6" s="9" t="n">
        <v>0.311</v>
      </c>
      <c r="F6" s="9" t="n">
        <v>0.248</v>
      </c>
      <c r="G6" s="10" t="n">
        <v>0.19</v>
      </c>
      <c r="H6" s="10" t="n">
        <v>0.195</v>
      </c>
      <c r="I6" s="10" t="n">
        <v>0.2</v>
      </c>
      <c r="J6" s="10" t="n">
        <v>0.205</v>
      </c>
      <c r="K6" s="10" t="n">
        <v>0.21</v>
      </c>
    </row>
    <row r="7">
      <c r="A7" s="8" t="inlineStr">
        <is>
          <t>Ansys</t>
        </is>
      </c>
      <c r="B7" s="9" t="n"/>
      <c r="C7" s="9" t="n"/>
      <c r="D7" s="9" t="n">
        <v>0</v>
      </c>
      <c r="E7" s="9" t="n">
        <v>0</v>
      </c>
      <c r="F7" s="9" t="n">
        <v>0.107</v>
      </c>
      <c r="G7" s="10" t="n">
        <v>0.23</v>
      </c>
      <c r="H7" s="10" t="n">
        <v>0.225</v>
      </c>
      <c r="I7" s="10" t="n">
        <v>0.22</v>
      </c>
      <c r="J7" s="10" t="n">
        <v>0.215</v>
      </c>
      <c r="K7" s="10" t="n">
        <v>0.21</v>
      </c>
    </row>
    <row r="8">
      <c r="A8" s="8" t="inlineStr">
        <is>
          <t>Other</t>
        </is>
      </c>
      <c r="B8" s="9" t="n"/>
      <c r="C8" s="9" t="n"/>
      <c r="D8" s="9" t="n">
        <v>0.018</v>
      </c>
      <c r="E8" s="9" t="n">
        <v>0.025</v>
      </c>
      <c r="F8" s="9" t="n">
        <v>0.025</v>
      </c>
      <c r="G8" s="10" t="n">
        <v>0.025</v>
      </c>
      <c r="H8" s="10" t="n">
        <v>0.025</v>
      </c>
      <c r="I8" s="10" t="n">
        <v>0.025</v>
      </c>
      <c r="J8" s="10" t="n">
        <v>0.025</v>
      </c>
      <c r="K8" s="10" t="n">
        <v>0.025</v>
      </c>
    </row>
    <row r="10">
      <c r="A10" s="6" t="inlineStr">
        <is>
          <t>PRODUCT MIX (revenue $000s)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8" t="inlineStr">
        <is>
          <t>EDA</t>
        </is>
      </c>
      <c r="B11" s="11" t="n"/>
      <c r="C11" s="11" t="n"/>
      <c r="D11" s="11" t="n">
        <v>3680065.688</v>
      </c>
      <c r="E11" s="11" t="n">
        <v>4068617.504</v>
      </c>
      <c r="F11" s="11" t="n">
        <v>4373590.36</v>
      </c>
      <c r="G11" s="12" t="n">
        <v>5333550.000000001</v>
      </c>
      <c r="H11" s="12" t="n">
        <v>5973465.000000001</v>
      </c>
      <c r="I11" s="12" t="n">
        <v>6630585.000000001</v>
      </c>
      <c r="J11" s="12" t="n">
        <v>7293810.000000001</v>
      </c>
      <c r="K11" s="12" t="n">
        <v>7950375.000000001</v>
      </c>
    </row>
    <row r="12">
      <c r="A12" s="8" t="inlineStr">
        <is>
          <t>Design IP</t>
        </is>
      </c>
      <c r="B12" s="11" t="n"/>
      <c r="C12" s="11" t="n"/>
      <c r="D12" s="11" t="n">
        <v>1542224.06</v>
      </c>
      <c r="E12" s="11" t="n">
        <v>1905632.596</v>
      </c>
      <c r="F12" s="11" t="n">
        <v>1749436.144</v>
      </c>
      <c r="G12" s="12" t="n">
        <v>1825900</v>
      </c>
      <c r="H12" s="12" t="n">
        <v>2098785</v>
      </c>
      <c r="I12" s="12" t="n">
        <v>2389400</v>
      </c>
      <c r="J12" s="12" t="n">
        <v>2694110</v>
      </c>
      <c r="K12" s="12" t="n">
        <v>3008250</v>
      </c>
    </row>
    <row r="13">
      <c r="A13" s="8" t="inlineStr">
        <is>
          <t>Ansys</t>
        </is>
      </c>
      <c r="B13" s="11" t="n"/>
      <c r="C13" s="11" t="n"/>
      <c r="D13" s="11" t="n"/>
      <c r="E13" s="11" t="n"/>
      <c r="F13" s="11" t="n">
        <v>754797.046</v>
      </c>
      <c r="G13" s="12" t="n">
        <v>2210300</v>
      </c>
      <c r="H13" s="12" t="n">
        <v>2421675</v>
      </c>
      <c r="I13" s="12" t="n">
        <v>2628340</v>
      </c>
      <c r="J13" s="12" t="n">
        <v>2825530</v>
      </c>
      <c r="K13" s="12" t="n">
        <v>3008250</v>
      </c>
    </row>
    <row r="14">
      <c r="A14" s="8" t="inlineStr">
        <is>
          <t>Other</t>
        </is>
      </c>
      <c r="B14" s="11" t="n"/>
      <c r="C14" s="11" t="n"/>
      <c r="D14" s="11" t="n">
        <v>95724.25199999999</v>
      </c>
      <c r="E14" s="11" t="n">
        <v>153185.9</v>
      </c>
      <c r="F14" s="11" t="n">
        <v>176354.45</v>
      </c>
      <c r="G14" s="12" t="n">
        <v>240250</v>
      </c>
      <c r="H14" s="12" t="n">
        <v>269075</v>
      </c>
      <c r="I14" s="12" t="n">
        <v>298675</v>
      </c>
      <c r="J14" s="12" t="n">
        <v>328550</v>
      </c>
      <c r="K14" s="12" t="n">
        <v>358125</v>
      </c>
    </row>
    <row r="16">
      <c r="A16" s="6" t="inlineStr">
        <is>
          <t>REVENUE BY TYPE ($000s)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>
      <c r="A17" s="8" t="inlineStr">
        <is>
          <t>Time-based products</t>
        </is>
      </c>
      <c r="B17" s="11" t="n">
        <v>2633763</v>
      </c>
      <c r="C17" s="11" t="n">
        <v>2993786</v>
      </c>
      <c r="D17" s="11" t="n">
        <v>3016256</v>
      </c>
      <c r="E17" s="11" t="n">
        <v>3224299</v>
      </c>
      <c r="F17" s="11" t="n">
        <v>3489609</v>
      </c>
      <c r="G17" s="12" t="n">
        <v>4604295.15</v>
      </c>
      <c r="H17" s="12" t="n">
        <v>5156714.745</v>
      </c>
      <c r="I17" s="12" t="n">
        <v>5723986.905</v>
      </c>
      <c r="J17" s="12" t="n">
        <v>6296529.33</v>
      </c>
      <c r="K17" s="12" t="n">
        <v>6863322.375</v>
      </c>
    </row>
    <row r="18">
      <c r="A18" s="8" t="inlineStr">
        <is>
          <t>Upfront products</t>
        </is>
      </c>
      <c r="B18" s="11" t="n">
        <v>861063</v>
      </c>
      <c r="C18" s="11" t="n">
        <v>1226728</v>
      </c>
      <c r="D18" s="11" t="n">
        <v>1400125</v>
      </c>
      <c r="E18" s="11" t="n">
        <v>1802222</v>
      </c>
      <c r="F18" s="11" t="n">
        <v>2010602</v>
      </c>
      <c r="G18" s="12" t="n">
        <v>2704109.85</v>
      </c>
      <c r="H18" s="12" t="n">
        <v>3028546.755</v>
      </c>
      <c r="I18" s="12" t="n">
        <v>3361706.595</v>
      </c>
      <c r="J18" s="12" t="n">
        <v>3697961.67</v>
      </c>
      <c r="K18" s="12" t="n">
        <v>4030840.125</v>
      </c>
    </row>
    <row r="19">
      <c r="A19" s="8" t="inlineStr">
        <is>
          <t>Total products revenue</t>
        </is>
      </c>
      <c r="B19" s="11" t="n">
        <v>3494826</v>
      </c>
      <c r="C19" s="11" t="n">
        <v>4220514</v>
      </c>
      <c r="D19" s="11" t="n">
        <v>4416381</v>
      </c>
      <c r="E19" s="11" t="n">
        <v>5026521</v>
      </c>
      <c r="F19" s="11" t="n">
        <v>5500211</v>
      </c>
      <c r="G19" s="12" t="n">
        <v>7308405</v>
      </c>
      <c r="H19" s="12" t="n">
        <v>8185261.5</v>
      </c>
      <c r="I19" s="12" t="n">
        <v>9085693.5</v>
      </c>
      <c r="J19" s="12" t="n">
        <v>9994491</v>
      </c>
      <c r="K19" s="12" t="n">
        <v>10894162.5</v>
      </c>
    </row>
    <row r="20">
      <c r="A20" s="8" t="inlineStr">
        <is>
          <t>Maintenance and service</t>
        </is>
      </c>
      <c r="B20" s="11" t="n">
        <v>709367</v>
      </c>
      <c r="C20" s="11" t="n">
        <v>861028</v>
      </c>
      <c r="D20" s="11" t="n">
        <v>901633</v>
      </c>
      <c r="E20" s="11" t="n">
        <v>1100915</v>
      </c>
      <c r="F20" s="11" t="n">
        <v>1553967</v>
      </c>
      <c r="G20" s="12" t="n">
        <v>2301595</v>
      </c>
      <c r="H20" s="12" t="n">
        <v>2577738.5</v>
      </c>
      <c r="I20" s="12" t="n">
        <v>2861306.5</v>
      </c>
      <c r="J20" s="12" t="n">
        <v>3147509</v>
      </c>
      <c r="K20" s="12" t="n">
        <v>3430837.5</v>
      </c>
    </row>
    <row r="21">
      <c r="A21" s="13" t="inlineStr">
        <is>
          <t>Total revenue</t>
        </is>
      </c>
      <c r="B21" s="14" t="n">
        <v>4204193</v>
      </c>
      <c r="C21" s="14" t="n">
        <v>5081542</v>
      </c>
      <c r="D21" s="14" t="n">
        <v>5318014</v>
      </c>
      <c r="E21" s="14" t="n">
        <v>6127436</v>
      </c>
      <c r="F21" s="14" t="n">
        <v>7054178</v>
      </c>
      <c r="G21" s="14" t="n">
        <v>9610000</v>
      </c>
      <c r="H21" s="14" t="n">
        <v>10763000</v>
      </c>
      <c r="I21" s="14" t="n">
        <v>11947000</v>
      </c>
      <c r="J21" s="14" t="n">
        <v>13142000</v>
      </c>
      <c r="K21" s="14" t="n">
        <v>14325000</v>
      </c>
    </row>
    <row r="23">
      <c r="A23" s="6" t="inlineStr">
        <is>
          <t>GROWTH RATES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>
      <c r="A24" s="8" t="inlineStr">
        <is>
          <t>Total revenue YoY growth</t>
        </is>
      </c>
      <c r="B24" s="9" t="n"/>
      <c r="C24" s="9" t="n">
        <v>0.2086842825721844</v>
      </c>
      <c r="D24" s="9" t="n">
        <v>0.04653548076548408</v>
      </c>
      <c r="E24" s="9" t="n">
        <v>0.1522038114228357</v>
      </c>
      <c r="F24" s="9" t="n">
        <v>0.151244664162955</v>
      </c>
      <c r="G24" s="10" t="n">
        <v>0.3623132277070411</v>
      </c>
      <c r="H24" s="10" t="n">
        <v>0.1199791883454735</v>
      </c>
      <c r="I24" s="10" t="n">
        <v>0.1100065037628914</v>
      </c>
      <c r="J24" s="10" t="n">
        <v>0.1000251109065038</v>
      </c>
      <c r="K24" s="10" t="n">
        <v>0.09001674022218831</v>
      </c>
    </row>
    <row r="26">
      <c r="A26" s="6" t="inlineStr">
        <is>
          <t>GEOGRAPHIC MIX ($000s)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>
      <c r="A27" s="8" t="inlineStr">
        <is>
          <t>United States</t>
        </is>
      </c>
      <c r="B27" s="11" t="n"/>
      <c r="C27" s="11" t="n"/>
      <c r="D27" s="11" t="n">
        <v>2462009</v>
      </c>
      <c r="E27" s="11" t="n">
        <v>2739756</v>
      </c>
      <c r="F27" s="11" t="n">
        <v>3100095</v>
      </c>
      <c r="G27" s="12" t="n">
        <v>3503107.35</v>
      </c>
      <c r="H27" s="12" t="n">
        <v>3923480.232</v>
      </c>
      <c r="I27" s="12" t="n">
        <v>4355063.05752</v>
      </c>
      <c r="J27" s="12" t="n">
        <v>4790569.363272001</v>
      </c>
      <c r="K27" s="12" t="n">
        <v>5221720.605966481</v>
      </c>
    </row>
    <row r="28">
      <c r="A28" s="8" t="inlineStr">
        <is>
          <t>Europe</t>
        </is>
      </c>
      <c r="B28" s="11" t="n"/>
      <c r="C28" s="11" t="n"/>
      <c r="D28" s="11" t="n">
        <v>514780</v>
      </c>
      <c r="E28" s="11" t="n">
        <v>614584</v>
      </c>
      <c r="F28" s="11" t="n">
        <v>888524</v>
      </c>
      <c r="G28" s="12" t="n">
        <v>1012917.36</v>
      </c>
      <c r="H28" s="12" t="n">
        <v>1144596.6168</v>
      </c>
      <c r="I28" s="12" t="n">
        <v>1281948.210816</v>
      </c>
      <c r="J28" s="12" t="n">
        <v>1422962.51400576</v>
      </c>
      <c r="K28" s="12" t="n">
        <v>1565258.765406336</v>
      </c>
    </row>
    <row r="29">
      <c r="A29" s="8" t="inlineStr">
        <is>
          <t>China</t>
        </is>
      </c>
      <c r="B29" s="11" t="n"/>
      <c r="C29" s="11" t="n"/>
      <c r="D29" s="11" t="n">
        <v>855023</v>
      </c>
      <c r="E29" s="11" t="n">
        <v>989524</v>
      </c>
      <c r="F29" s="11" t="n">
        <v>814324</v>
      </c>
      <c r="G29" s="12" t="n">
        <v>846896.9600000001</v>
      </c>
      <c r="H29" s="12" t="n">
        <v>897710.7776000001</v>
      </c>
      <c r="I29" s="12" t="n">
        <v>969527.6398080002</v>
      </c>
      <c r="J29" s="12" t="n">
        <v>1047089.85099264</v>
      </c>
      <c r="K29" s="12" t="n">
        <v>1130857.039072052</v>
      </c>
    </row>
    <row r="30">
      <c r="A30" s="8" t="inlineStr">
        <is>
          <t>Korea</t>
        </is>
      </c>
      <c r="B30" s="11" t="n"/>
      <c r="C30" s="11" t="n"/>
      <c r="D30" s="11" t="n">
        <v>625502</v>
      </c>
      <c r="E30" s="11" t="n">
        <v>773018</v>
      </c>
      <c r="F30" s="11" t="n">
        <v>946999</v>
      </c>
      <c r="G30" s="12" t="n">
        <v>1079578.86</v>
      </c>
      <c r="H30" s="12" t="n">
        <v>1219924.1118</v>
      </c>
      <c r="I30" s="12" t="n">
        <v>1366315.005216</v>
      </c>
      <c r="J30" s="12" t="n">
        <v>1516609.65578976</v>
      </c>
      <c r="K30" s="12" t="n">
        <v>1668270.621368736</v>
      </c>
    </row>
    <row r="31">
      <c r="A31" s="8" t="inlineStr">
        <is>
          <t>Other</t>
        </is>
      </c>
      <c r="B31" s="11" t="n"/>
      <c r="C31" s="11" t="n"/>
      <c r="D31" s="11" t="n">
        <v>860700</v>
      </c>
      <c r="E31" s="11" t="n">
        <v>1010554</v>
      </c>
      <c r="F31" s="11" t="n">
        <v>1304236</v>
      </c>
      <c r="G31" s="12" t="n">
        <v>1486829.04</v>
      </c>
      <c r="H31" s="12" t="n">
        <v>1680116.8152</v>
      </c>
      <c r="I31" s="12" t="n">
        <v>1881730.833024</v>
      </c>
      <c r="J31" s="12" t="n">
        <v>2088721.224656641</v>
      </c>
      <c r="K31" s="12" t="n">
        <v>2297593.347122305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4" t="inlineStr">
        <is>
          <t>Synopsys – INCOME STATEMENT ($000s unless noted)</t>
        </is>
      </c>
    </row>
    <row r="3">
      <c r="A3" s="5" t="inlineStr"/>
      <c r="B3" s="5" t="inlineStr">
        <is>
          <t>FY2021</t>
        </is>
      </c>
      <c r="C3" s="5" t="inlineStr">
        <is>
          <t>FY2022</t>
        </is>
      </c>
      <c r="D3" s="5" t="inlineStr">
        <is>
          <t>FY2023</t>
        </is>
      </c>
      <c r="E3" s="5" t="inlineStr">
        <is>
          <t>FY2024</t>
        </is>
      </c>
      <c r="F3" s="5" t="inlineStr">
        <is>
          <t>FY2025</t>
        </is>
      </c>
      <c r="G3" s="5" t="inlineStr">
        <is>
          <t>FY2026E</t>
        </is>
      </c>
      <c r="H3" s="5" t="inlineStr">
        <is>
          <t>FY2027E</t>
        </is>
      </c>
      <c r="I3" s="5" t="inlineStr">
        <is>
          <t>FY2028E</t>
        </is>
      </c>
      <c r="J3" s="5" t="inlineStr">
        <is>
          <t>FY2029E</t>
        </is>
      </c>
      <c r="K3" s="5" t="inlineStr">
        <is>
          <t>FY2030E</t>
        </is>
      </c>
    </row>
    <row r="4">
      <c r="A4" s="6" t="inlineStr">
        <is>
          <t>REVENUE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>
      <c r="A5" s="8" t="inlineStr">
        <is>
          <t>Time-based products</t>
        </is>
      </c>
      <c r="B5" s="11" t="n">
        <v>2633763</v>
      </c>
      <c r="C5" s="11" t="n">
        <v>2993786</v>
      </c>
      <c r="D5" s="11" t="n">
        <v>3016256</v>
      </c>
      <c r="E5" s="11" t="n">
        <v>3224299</v>
      </c>
      <c r="F5" s="11" t="n">
        <v>3489609</v>
      </c>
      <c r="G5" s="12" t="n">
        <v>4604295.15</v>
      </c>
      <c r="H5" s="12" t="n">
        <v>5156714.745</v>
      </c>
      <c r="I5" s="12" t="n">
        <v>5723986.905</v>
      </c>
      <c r="J5" s="12" t="n">
        <v>6296529.33</v>
      </c>
      <c r="K5" s="12" t="n">
        <v>6863322.375</v>
      </c>
    </row>
    <row r="6">
      <c r="A6" s="8" t="inlineStr">
        <is>
          <t>Upfront products</t>
        </is>
      </c>
      <c r="B6" s="11" t="n">
        <v>861063</v>
      </c>
      <c r="C6" s="11" t="n">
        <v>1226728</v>
      </c>
      <c r="D6" s="11" t="n">
        <v>1400125</v>
      </c>
      <c r="E6" s="11" t="n">
        <v>1802222</v>
      </c>
      <c r="F6" s="11" t="n">
        <v>2010602</v>
      </c>
      <c r="G6" s="12" t="n">
        <v>2704109.85</v>
      </c>
      <c r="H6" s="12" t="n">
        <v>3028546.755</v>
      </c>
      <c r="I6" s="12" t="n">
        <v>3361706.595</v>
      </c>
      <c r="J6" s="12" t="n">
        <v>3697961.67</v>
      </c>
      <c r="K6" s="12" t="n">
        <v>4030840.125</v>
      </c>
    </row>
    <row r="7">
      <c r="A7" s="13" t="inlineStr">
        <is>
          <t>Total products revenue</t>
        </is>
      </c>
      <c r="B7" s="14" t="n">
        <v>3494826</v>
      </c>
      <c r="C7" s="14" t="n">
        <v>4220514</v>
      </c>
      <c r="D7" s="14" t="n">
        <v>4416381</v>
      </c>
      <c r="E7" s="14" t="n">
        <v>5026521</v>
      </c>
      <c r="F7" s="14" t="n">
        <v>5500211</v>
      </c>
      <c r="G7" s="14" t="n">
        <v>7308405</v>
      </c>
      <c r="H7" s="14" t="n">
        <v>8185261.5</v>
      </c>
      <c r="I7" s="14" t="n">
        <v>9085693.5</v>
      </c>
      <c r="J7" s="14" t="n">
        <v>9994491</v>
      </c>
      <c r="K7" s="14" t="n">
        <v>10894162.5</v>
      </c>
    </row>
    <row r="8">
      <c r="A8" s="8" t="inlineStr">
        <is>
          <t>Maintenance and service</t>
        </is>
      </c>
      <c r="B8" s="11" t="n">
        <v>709367</v>
      </c>
      <c r="C8" s="11" t="n">
        <v>861028</v>
      </c>
      <c r="D8" s="11" t="n">
        <v>901633</v>
      </c>
      <c r="E8" s="11" t="n">
        <v>1100915</v>
      </c>
      <c r="F8" s="11" t="n">
        <v>1553967</v>
      </c>
      <c r="G8" s="12" t="n">
        <v>2301595</v>
      </c>
      <c r="H8" s="12" t="n">
        <v>2577738.5</v>
      </c>
      <c r="I8" s="12" t="n">
        <v>2861306.5</v>
      </c>
      <c r="J8" s="12" t="n">
        <v>3147509</v>
      </c>
      <c r="K8" s="12" t="n">
        <v>3430837.5</v>
      </c>
    </row>
    <row r="9">
      <c r="A9" s="13" t="inlineStr">
        <is>
          <t>Total revenue</t>
        </is>
      </c>
      <c r="B9" s="14" t="n">
        <v>4204193</v>
      </c>
      <c r="C9" s="14" t="n">
        <v>5081542</v>
      </c>
      <c r="D9" s="14" t="n">
        <v>5318014</v>
      </c>
      <c r="E9" s="14" t="n">
        <v>6127436</v>
      </c>
      <c r="F9" s="14" t="n">
        <v>7054178</v>
      </c>
      <c r="G9" s="14" t="n">
        <v>9610000</v>
      </c>
      <c r="H9" s="14" t="n">
        <v>10763000</v>
      </c>
      <c r="I9" s="14" t="n">
        <v>11947000</v>
      </c>
      <c r="J9" s="14" t="n">
        <v>13142000</v>
      </c>
      <c r="K9" s="14" t="n">
        <v>14325000</v>
      </c>
    </row>
    <row r="11">
      <c r="A11" s="6" t="inlineStr">
        <is>
          <t>COST OF REVENUE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8" t="inlineStr">
        <is>
          <t>Cost of revenue: Products</t>
        </is>
      </c>
      <c r="B12" s="11" t="n">
        <v>542114</v>
      </c>
      <c r="C12" s="11" t="n">
        <v>653783</v>
      </c>
      <c r="D12" s="11" t="n">
        <v>697686</v>
      </c>
      <c r="E12" s="11" t="n">
        <v>770238</v>
      </c>
      <c r="F12" s="11" t="n">
        <v>867165</v>
      </c>
      <c r="G12" s="12" t="n">
        <v>1215665</v>
      </c>
      <c r="H12" s="12" t="n">
        <v>1302323</v>
      </c>
      <c r="I12" s="12" t="n">
        <v>1379878.5</v>
      </c>
      <c r="J12" s="12" t="n">
        <v>1445620</v>
      </c>
      <c r="K12" s="12" t="n">
        <v>1496962.5</v>
      </c>
    </row>
    <row r="13">
      <c r="A13" s="8" t="inlineStr">
        <is>
          <t>Cost of revenue: Maintenance and service</t>
        </is>
      </c>
      <c r="B13" s="11" t="n">
        <v>271202</v>
      </c>
      <c r="C13" s="11" t="n">
        <v>342978</v>
      </c>
      <c r="D13" s="11" t="n">
        <v>287876</v>
      </c>
      <c r="E13" s="11" t="n">
        <v>367055</v>
      </c>
      <c r="F13" s="11" t="n">
        <v>444526</v>
      </c>
      <c r="G13" s="12" t="n">
        <v>618884.0000000001</v>
      </c>
      <c r="H13" s="12" t="n">
        <v>663000.8</v>
      </c>
      <c r="I13" s="12" t="n">
        <v>702483.6000000001</v>
      </c>
      <c r="J13" s="12" t="n">
        <v>735952.0000000001</v>
      </c>
      <c r="K13" s="12" t="n">
        <v>762090.0000000001</v>
      </c>
    </row>
    <row r="14">
      <c r="A14" s="8" t="inlineStr">
        <is>
          <t>Amortization of acquired intangibles (COGS)</t>
        </is>
      </c>
      <c r="B14" s="11" t="n">
        <v>48461</v>
      </c>
      <c r="C14" s="11" t="n">
        <v>66936</v>
      </c>
      <c r="D14" s="11" t="n">
        <v>45281</v>
      </c>
      <c r="E14" s="11" t="n">
        <v>107996</v>
      </c>
      <c r="F14" s="11" t="n">
        <v>311858</v>
      </c>
      <c r="G14" s="12" t="n">
        <v>375751</v>
      </c>
      <c r="H14" s="12" t="n">
        <v>402536.2</v>
      </c>
      <c r="I14" s="12" t="n">
        <v>426507.9</v>
      </c>
      <c r="J14" s="12" t="n">
        <v>446828.0000000001</v>
      </c>
      <c r="K14" s="12" t="n">
        <v>462697.5000000001</v>
      </c>
    </row>
    <row r="15">
      <c r="A15" s="13" t="inlineStr">
        <is>
          <t>Total cost of revenue</t>
        </is>
      </c>
      <c r="B15" s="14" t="n">
        <v>861777</v>
      </c>
      <c r="C15" s="14" t="n">
        <v>1063697</v>
      </c>
      <c r="D15" s="14" t="n">
        <v>1030843</v>
      </c>
      <c r="E15" s="14" t="n">
        <v>1245289</v>
      </c>
      <c r="F15" s="14" t="n">
        <v>1623549</v>
      </c>
      <c r="G15" s="14" t="n">
        <v>2210300</v>
      </c>
      <c r="H15" s="14" t="n">
        <v>2367860</v>
      </c>
      <c r="I15" s="14" t="n">
        <v>2508870</v>
      </c>
      <c r="J15" s="14" t="n">
        <v>2628400</v>
      </c>
      <c r="K15" s="14" t="n">
        <v>2721750</v>
      </c>
    </row>
    <row r="16">
      <c r="A16" s="13" t="inlineStr">
        <is>
          <t>Gross profit</t>
        </is>
      </c>
      <c r="B16" s="14" t="n">
        <v>3342416</v>
      </c>
      <c r="C16" s="14" t="n">
        <v>4017845</v>
      </c>
      <c r="D16" s="14" t="n">
        <v>4287171</v>
      </c>
      <c r="E16" s="14" t="n">
        <v>4882147</v>
      </c>
      <c r="F16" s="14" t="n">
        <v>5430629</v>
      </c>
      <c r="G16" s="14" t="n">
        <v>7399700</v>
      </c>
      <c r="H16" s="14" t="n">
        <v>8395140</v>
      </c>
      <c r="I16" s="14" t="n">
        <v>9438130</v>
      </c>
      <c r="J16" s="14" t="n">
        <v>10513600</v>
      </c>
      <c r="K16" s="14" t="n">
        <v>11603250</v>
      </c>
    </row>
    <row r="18">
      <c r="A18" s="6" t="inlineStr">
        <is>
          <t>OPERATING EXPENSES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>
      <c r="A19" s="8" t="inlineStr">
        <is>
          <t>Research and development</t>
        </is>
      </c>
      <c r="B19" s="11" t="n">
        <v>1504823</v>
      </c>
      <c r="C19" s="11" t="n">
        <v>1680379</v>
      </c>
      <c r="D19" s="11" t="n">
        <v>1849935</v>
      </c>
      <c r="E19" s="11" t="n">
        <v>2082360</v>
      </c>
      <c r="F19" s="11" t="n">
        <v>2479338</v>
      </c>
      <c r="G19" s="12" t="n">
        <v>3171300</v>
      </c>
      <c r="H19" s="12" t="n">
        <v>3530264</v>
      </c>
      <c r="I19" s="12" t="n">
        <v>3894722</v>
      </c>
      <c r="J19" s="12" t="n">
        <v>4258008</v>
      </c>
      <c r="K19" s="12" t="n">
        <v>4612650</v>
      </c>
    </row>
    <row r="20">
      <c r="A20" s="8" t="inlineStr">
        <is>
          <t>Sales and marketing</t>
        </is>
      </c>
      <c r="B20" s="11" t="n">
        <v>712491</v>
      </c>
      <c r="C20" s="11" t="n">
        <v>779777</v>
      </c>
      <c r="D20" s="11" t="n">
        <v>724934</v>
      </c>
      <c r="E20" s="11" t="n">
        <v>859342</v>
      </c>
      <c r="F20" s="11" t="n">
        <v>1074191</v>
      </c>
      <c r="G20" s="12" t="n">
        <v>1441500</v>
      </c>
      <c r="H20" s="12" t="n">
        <v>1592924</v>
      </c>
      <c r="I20" s="12" t="n">
        <v>1744262</v>
      </c>
      <c r="J20" s="12" t="n">
        <v>1892448</v>
      </c>
      <c r="K20" s="12" t="n">
        <v>2034150</v>
      </c>
    </row>
    <row r="21">
      <c r="A21" s="8" t="inlineStr">
        <is>
          <t>General and administrative</t>
        </is>
      </c>
      <c r="B21" s="11" t="n">
        <v>322988</v>
      </c>
      <c r="C21" s="11" t="n">
        <v>353840</v>
      </c>
      <c r="D21" s="11" t="n">
        <v>376677</v>
      </c>
      <c r="E21" s="11" t="n">
        <v>568496</v>
      </c>
      <c r="F21" s="11" t="n">
        <v>769648</v>
      </c>
      <c r="G21" s="12" t="n">
        <v>864900</v>
      </c>
      <c r="H21" s="12" t="n">
        <v>947144</v>
      </c>
      <c r="I21" s="12" t="n">
        <v>1027442</v>
      </c>
      <c r="J21" s="12" t="n">
        <v>1103928</v>
      </c>
      <c r="K21" s="12" t="n">
        <v>1174650</v>
      </c>
    </row>
    <row r="22">
      <c r="A22" s="8" t="inlineStr">
        <is>
          <t>Amortization of acquired intangibles (OpEx)</t>
        </is>
      </c>
      <c r="B22" s="11" t="n">
        <v>33919</v>
      </c>
      <c r="C22" s="11" t="n">
        <v>29754</v>
      </c>
      <c r="D22" s="11" t="n">
        <v>9295</v>
      </c>
      <c r="E22" s="11" t="n">
        <v>16238</v>
      </c>
      <c r="F22" s="11" t="n">
        <v>192525</v>
      </c>
      <c r="G22" s="12" t="n">
        <v>600000</v>
      </c>
      <c r="H22" s="12" t="n">
        <v>580000</v>
      </c>
      <c r="I22" s="12" t="n">
        <v>550000</v>
      </c>
      <c r="J22" s="12" t="n">
        <v>510000</v>
      </c>
      <c r="K22" s="12" t="n">
        <v>460000</v>
      </c>
    </row>
    <row r="23">
      <c r="A23" s="8" t="inlineStr">
        <is>
          <t>Restructuring charges</t>
        </is>
      </c>
      <c r="B23" s="11" t="n">
        <v>33405</v>
      </c>
      <c r="C23" s="11" t="n">
        <v>12057</v>
      </c>
      <c r="D23" s="11" t="n">
        <v>53091</v>
      </c>
      <c r="E23" s="11" t="n">
        <v>0</v>
      </c>
      <c r="F23" s="11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</row>
    <row r="24">
      <c r="A24" s="13" t="inlineStr">
        <is>
          <t>Total operating expenses</t>
        </is>
      </c>
      <c r="B24" s="14" t="n">
        <v>2607626</v>
      </c>
      <c r="C24" s="14" t="n">
        <v>2855807</v>
      </c>
      <c r="D24" s="14" t="n">
        <v>3013932</v>
      </c>
      <c r="E24" s="14" t="n">
        <v>3526436</v>
      </c>
      <c r="F24" s="14" t="n">
        <v>4515702</v>
      </c>
      <c r="G24" s="14" t="n">
        <v>6077700</v>
      </c>
      <c r="H24" s="14" t="n">
        <v>6650332</v>
      </c>
      <c r="I24" s="14" t="n">
        <v>7216426</v>
      </c>
      <c r="J24" s="14" t="n">
        <v>7764384</v>
      </c>
      <c r="K24" s="14" t="n">
        <v>8281450</v>
      </c>
    </row>
    <row r="26">
      <c r="A26" s="6" t="inlineStr">
        <is>
          <t>OPERATING &amp; BELOW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>
      <c r="A27" s="13" t="inlineStr">
        <is>
          <t>Operating income</t>
        </is>
      </c>
      <c r="B27" s="14" t="n">
        <v>734790</v>
      </c>
      <c r="C27" s="14" t="n">
        <v>1162038</v>
      </c>
      <c r="D27" s="14" t="n">
        <v>1273239</v>
      </c>
      <c r="E27" s="14" t="n">
        <v>1355711</v>
      </c>
      <c r="F27" s="14" t="n">
        <v>914927</v>
      </c>
      <c r="G27" s="14" t="n">
        <v>1322000</v>
      </c>
      <c r="H27" s="14" t="n">
        <v>1744808</v>
      </c>
      <c r="I27" s="14" t="n">
        <v>2221704</v>
      </c>
      <c r="J27" s="14" t="n">
        <v>2749216</v>
      </c>
      <c r="K27" s="14" t="n">
        <v>3321800</v>
      </c>
    </row>
    <row r="28">
      <c r="A28" s="8" t="inlineStr">
        <is>
          <t>Interest expense</t>
        </is>
      </c>
      <c r="B28" s="11" t="n"/>
      <c r="C28" s="11" t="n"/>
      <c r="D28" s="11" t="n">
        <v>-2703</v>
      </c>
      <c r="E28" s="11" t="n">
        <v>-36829</v>
      </c>
      <c r="F28" s="11" t="n">
        <v>-446729</v>
      </c>
      <c r="G28" s="12" t="n">
        <v>-540000</v>
      </c>
      <c r="H28" s="12" t="n">
        <v>-480000</v>
      </c>
      <c r="I28" s="12" t="n">
        <v>-420000</v>
      </c>
      <c r="J28" s="12" t="n">
        <v>-360000</v>
      </c>
      <c r="K28" s="12" t="n">
        <v>-300000</v>
      </c>
    </row>
    <row r="29">
      <c r="A29" s="8" t="inlineStr">
        <is>
          <t>Other income (expense), net</t>
        </is>
      </c>
      <c r="B29" s="11" t="n">
        <v>70724</v>
      </c>
      <c r="C29" s="11" t="n">
        <v>-46524</v>
      </c>
      <c r="D29" s="11" t="n">
        <v>34934</v>
      </c>
      <c r="E29" s="11" t="n">
        <v>194976</v>
      </c>
      <c r="F29" s="11" t="n">
        <v>924944</v>
      </c>
      <c r="G29" s="12" t="n">
        <v>200000</v>
      </c>
      <c r="H29" s="12" t="n">
        <v>220000</v>
      </c>
      <c r="I29" s="12" t="n">
        <v>240000</v>
      </c>
      <c r="J29" s="12" t="n">
        <v>260000</v>
      </c>
      <c r="K29" s="12" t="n">
        <v>280000</v>
      </c>
    </row>
    <row r="30">
      <c r="A30" s="13" t="inlineStr">
        <is>
          <t>Income before income taxes</t>
        </is>
      </c>
      <c r="B30" s="14" t="n">
        <v>805514</v>
      </c>
      <c r="C30" s="14" t="n">
        <v>1115514</v>
      </c>
      <c r="D30" s="14" t="n">
        <v>1305470</v>
      </c>
      <c r="E30" s="14" t="n">
        <v>1513858</v>
      </c>
      <c r="F30" s="14" t="n">
        <v>1393142</v>
      </c>
      <c r="G30" s="14" t="n">
        <v>982000</v>
      </c>
      <c r="H30" s="14" t="n">
        <v>1484808</v>
      </c>
      <c r="I30" s="14" t="n">
        <v>2041704</v>
      </c>
      <c r="J30" s="14" t="n">
        <v>2649216</v>
      </c>
      <c r="K30" s="14" t="n">
        <v>3301800</v>
      </c>
    </row>
    <row r="31">
      <c r="A31" s="8" t="inlineStr">
        <is>
          <t>Provision for income taxes</t>
        </is>
      </c>
      <c r="B31" s="11" t="n">
        <v>49155</v>
      </c>
      <c r="C31" s="11" t="n">
        <v>137078</v>
      </c>
      <c r="D31" s="11" t="n">
        <v>90188</v>
      </c>
      <c r="E31" s="11" t="n">
        <v>99718</v>
      </c>
      <c r="F31" s="11" t="n">
        <v>55991</v>
      </c>
      <c r="G31" s="12" t="n">
        <v>137480</v>
      </c>
      <c r="H31" s="12" t="n">
        <v>207873.12</v>
      </c>
      <c r="I31" s="12" t="n">
        <v>285838.5600000001</v>
      </c>
      <c r="J31" s="12" t="n">
        <v>370890.24</v>
      </c>
      <c r="K31" s="12" t="n">
        <v>462252.0000000001</v>
      </c>
    </row>
    <row r="32">
      <c r="A32" s="13" t="inlineStr">
        <is>
          <t>Net income from continuing ops</t>
        </is>
      </c>
      <c r="B32" s="14" t="n">
        <v>756359</v>
      </c>
      <c r="C32" s="14" t="n">
        <v>978436</v>
      </c>
      <c r="D32" s="14" t="n">
        <v>1215282</v>
      </c>
      <c r="E32" s="14" t="n">
        <v>1414140</v>
      </c>
      <c r="F32" s="14" t="n">
        <v>1337151</v>
      </c>
      <c r="G32" s="14" t="n">
        <v>844520</v>
      </c>
      <c r="H32" s="14" t="n">
        <v>1276934.88</v>
      </c>
      <c r="I32" s="14" t="n">
        <v>1755865.44</v>
      </c>
      <c r="J32" s="14" t="n">
        <v>2278325.76</v>
      </c>
      <c r="K32" s="14" t="n">
        <v>2839548</v>
      </c>
    </row>
    <row r="33">
      <c r="A33" s="8" t="inlineStr">
        <is>
          <t>Income from discontinued operations</t>
        </is>
      </c>
      <c r="B33" s="11" t="n"/>
      <c r="C33" s="11" t="n"/>
      <c r="D33" s="11" t="n">
        <v>2843</v>
      </c>
      <c r="E33" s="11" t="n">
        <v>821670</v>
      </c>
      <c r="F33" s="11" t="n">
        <v>-3900</v>
      </c>
      <c r="G33" s="12" t="n"/>
      <c r="H33" s="12" t="n"/>
      <c r="I33" s="12" t="n"/>
      <c r="J33" s="12" t="n"/>
      <c r="K33" s="12" t="n"/>
    </row>
    <row r="34">
      <c r="A34" s="13" t="inlineStr">
        <is>
          <t>Net income (incl. NCI)</t>
        </is>
      </c>
      <c r="B34" s="14" t="n">
        <v>756359</v>
      </c>
      <c r="C34" s="14" t="n">
        <v>978436</v>
      </c>
      <c r="D34" s="14" t="n">
        <v>1218125</v>
      </c>
      <c r="E34" s="14" t="n">
        <v>2235810</v>
      </c>
      <c r="F34" s="14" t="n">
        <v>1333251</v>
      </c>
      <c r="G34" s="14" t="n">
        <v>844520</v>
      </c>
      <c r="H34" s="14" t="n">
        <v>1276934.88</v>
      </c>
      <c r="I34" s="14" t="n">
        <v>1755865.44</v>
      </c>
      <c r="J34" s="14" t="n">
        <v>2278325.76</v>
      </c>
      <c r="K34" s="14" t="n">
        <v>2839548</v>
      </c>
    </row>
    <row r="35">
      <c r="A35" s="8" t="inlineStr">
        <is>
          <t>Net income attributed to SNPS</t>
        </is>
      </c>
      <c r="B35" s="11" t="n">
        <v>757516</v>
      </c>
      <c r="C35" s="11" t="n">
        <v>984594</v>
      </c>
      <c r="D35" s="11" t="n">
        <v>1229888</v>
      </c>
      <c r="E35" s="11" t="n">
        <v>2263380</v>
      </c>
      <c r="F35" s="11" t="n">
        <v>1332220</v>
      </c>
      <c r="G35" s="12" t="n">
        <v>844520</v>
      </c>
      <c r="H35" s="12" t="n">
        <v>1276934.88</v>
      </c>
      <c r="I35" s="12" t="n">
        <v>1755865.44</v>
      </c>
      <c r="J35" s="12" t="n">
        <v>2278325.76</v>
      </c>
      <c r="K35" s="12" t="n">
        <v>2839548</v>
      </c>
    </row>
    <row r="36">
      <c r="A36" s="8" t="inlineStr">
        <is>
          <t>Diluted EPS (cont. ops)</t>
        </is>
      </c>
      <c r="B36" s="15" t="n">
        <v>4.81</v>
      </c>
      <c r="C36" s="15" t="n">
        <v>6.29</v>
      </c>
      <c r="D36" s="15" t="n">
        <v>7.96</v>
      </c>
      <c r="E36" s="15" t="n">
        <v>9.26</v>
      </c>
      <c r="F36" s="15" t="n">
        <v>7.32</v>
      </c>
      <c r="G36" s="16" t="n">
        <v>4.330871794871795</v>
      </c>
      <c r="H36" s="16" t="n">
        <v>6.51497387755102</v>
      </c>
      <c r="I36" s="16" t="n">
        <v>8.913022538071067</v>
      </c>
      <c r="J36" s="16" t="n">
        <v>11.50669575757576</v>
      </c>
      <c r="K36" s="16" t="n">
        <v>14.26908542713568</v>
      </c>
    </row>
    <row r="37">
      <c r="A37" s="8" t="inlineStr">
        <is>
          <t>Diluted shares (000s)</t>
        </is>
      </c>
      <c r="B37" s="11" t="n">
        <v>157340</v>
      </c>
      <c r="C37" s="11" t="n">
        <v>156485</v>
      </c>
      <c r="D37" s="11" t="n">
        <v>154500</v>
      </c>
      <c r="E37" s="11" t="n">
        <v>155300</v>
      </c>
      <c r="F37" s="11" t="n">
        <v>182500</v>
      </c>
      <c r="G37" s="12" t="n">
        <v>195000</v>
      </c>
      <c r="H37" s="12" t="n">
        <v>196000</v>
      </c>
      <c r="I37" s="12" t="n">
        <v>197000</v>
      </c>
      <c r="J37" s="12" t="n">
        <v>198000</v>
      </c>
      <c r="K37" s="12" t="n">
        <v>199000</v>
      </c>
    </row>
    <row r="39">
      <c r="A39" s="6" t="inlineStr">
        <is>
          <t>KEY MARGINS &amp; RATIOS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A40" s="8" t="inlineStr">
        <is>
          <t>Revenue YoY growth</t>
        </is>
      </c>
      <c r="B40" s="9" t="n"/>
      <c r="C40" s="9" t="n">
        <v>0.2086842825721844</v>
      </c>
      <c r="D40" s="9" t="n">
        <v>0.04653548076548408</v>
      </c>
      <c r="E40" s="9" t="n">
        <v>0.1522038114228357</v>
      </c>
      <c r="F40" s="9" t="n">
        <v>0.151244664162955</v>
      </c>
      <c r="G40" s="10" t="n">
        <v>0.3623132277070411</v>
      </c>
      <c r="H40" s="10" t="n">
        <v>0.1199791883454735</v>
      </c>
      <c r="I40" s="10" t="n">
        <v>0.1100065037628914</v>
      </c>
      <c r="J40" s="10" t="n">
        <v>0.1000251109065038</v>
      </c>
      <c r="K40" s="10" t="n">
        <v>0.09001674022218831</v>
      </c>
    </row>
    <row r="41">
      <c r="A41" s="8" t="inlineStr">
        <is>
          <t>Operating margin (GAAP)</t>
        </is>
      </c>
      <c r="B41" s="9" t="n">
        <v>0.1747755157767495</v>
      </c>
      <c r="C41" s="9" t="n">
        <v>0.2286782240508885</v>
      </c>
      <c r="D41" s="9" t="n">
        <v>0.2394200165700955</v>
      </c>
      <c r="E41" s="9" t="n">
        <v>0.2212525761182981</v>
      </c>
      <c r="F41" s="9" t="n">
        <v>0.1297000160755796</v>
      </c>
      <c r="G41" s="10" t="n">
        <v>0.1375650364203954</v>
      </c>
      <c r="H41" s="10" t="n">
        <v>0.162111678899935</v>
      </c>
      <c r="I41" s="10" t="n">
        <v>0.1859633380765046</v>
      </c>
      <c r="J41" s="10" t="n">
        <v>0.209193121290519</v>
      </c>
      <c r="K41" s="10" t="n">
        <v>0.2318883071553229</v>
      </c>
    </row>
    <row r="42">
      <c r="A42" s="8" t="inlineStr">
        <is>
          <t>Net margin (cont. ops)</t>
        </is>
      </c>
      <c r="B42" s="9" t="n">
        <v>0.1799058701634297</v>
      </c>
      <c r="C42" s="9" t="n">
        <v>0.1925470654380108</v>
      </c>
      <c r="D42" s="9" t="n">
        <v>0.2285217752341382</v>
      </c>
      <c r="E42" s="9" t="n">
        <v>0.2307882122310213</v>
      </c>
      <c r="F42" s="9" t="n">
        <v>0.1895544739585533</v>
      </c>
      <c r="G42" s="10" t="n">
        <v>0.0878792924037461</v>
      </c>
      <c r="H42" s="10" t="n">
        <v>0.1186411669608845</v>
      </c>
      <c r="I42" s="10" t="n">
        <v>0.1469712429898719</v>
      </c>
      <c r="J42" s="10" t="n">
        <v>0.1733621792725612</v>
      </c>
      <c r="K42" s="10" t="n">
        <v>0.1982232460732984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4" t="inlineStr">
        <is>
          <t>Synopsys – CASH FLOW STATEMENT ($000s)</t>
        </is>
      </c>
    </row>
    <row r="3">
      <c r="A3" s="5" t="inlineStr"/>
      <c r="B3" s="5" t="inlineStr">
        <is>
          <t>FY2021</t>
        </is>
      </c>
      <c r="C3" s="5" t="inlineStr">
        <is>
          <t>FY2022</t>
        </is>
      </c>
      <c r="D3" s="5" t="inlineStr">
        <is>
          <t>FY2023</t>
        </is>
      </c>
      <c r="E3" s="5" t="inlineStr">
        <is>
          <t>FY2024</t>
        </is>
      </c>
      <c r="F3" s="5" t="inlineStr">
        <is>
          <t>FY2025</t>
        </is>
      </c>
      <c r="G3" s="5" t="inlineStr">
        <is>
          <t>FY2026E</t>
        </is>
      </c>
      <c r="H3" s="5" t="inlineStr">
        <is>
          <t>FY2027E</t>
        </is>
      </c>
      <c r="I3" s="5" t="inlineStr">
        <is>
          <t>FY2028E</t>
        </is>
      </c>
      <c r="J3" s="5" t="inlineStr">
        <is>
          <t>FY2029E</t>
        </is>
      </c>
      <c r="K3" s="5" t="inlineStr">
        <is>
          <t>FY2030E</t>
        </is>
      </c>
    </row>
    <row r="4">
      <c r="A4" s="6" t="inlineStr">
        <is>
          <t>CASH FROM OPERATING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>
      <c r="A5" s="8" t="inlineStr">
        <is>
          <t>Net income</t>
        </is>
      </c>
      <c r="B5" s="11" t="n">
        <v>756359</v>
      </c>
      <c r="C5" s="11" t="n">
        <v>978436</v>
      </c>
      <c r="D5" s="11" t="n">
        <v>1218125</v>
      </c>
      <c r="E5" s="11" t="n">
        <v>2235810</v>
      </c>
      <c r="F5" s="11" t="n">
        <v>1333251</v>
      </c>
      <c r="G5" s="12" t="n">
        <v>844520</v>
      </c>
      <c r="H5" s="12" t="n">
        <v>1276934.88</v>
      </c>
      <c r="I5" s="12" t="n">
        <v>1755865.44</v>
      </c>
      <c r="J5" s="12" t="n">
        <v>2278325.76</v>
      </c>
      <c r="K5" s="12" t="n">
        <v>2839548</v>
      </c>
    </row>
    <row r="6">
      <c r="A6" s="8" t="inlineStr">
        <is>
          <t>Amortization and depreciation</t>
        </is>
      </c>
      <c r="B6" s="11" t="n">
        <v>199000</v>
      </c>
      <c r="C6" s="11" t="n">
        <v>239000</v>
      </c>
      <c r="D6" s="11" t="n">
        <v>247120</v>
      </c>
      <c r="E6" s="11" t="n">
        <v>295065</v>
      </c>
      <c r="F6" s="11" t="n">
        <v>660430</v>
      </c>
      <c r="G6" s="12" t="n">
        <v>720750</v>
      </c>
      <c r="H6" s="12" t="n">
        <v>807225</v>
      </c>
      <c r="I6" s="12" t="n">
        <v>896025</v>
      </c>
      <c r="J6" s="12" t="n">
        <v>985650</v>
      </c>
      <c r="K6" s="12" t="n">
        <v>1074375</v>
      </c>
    </row>
    <row r="7">
      <c r="A7" s="8" t="inlineStr">
        <is>
          <t>ROU asset amortization</t>
        </is>
      </c>
      <c r="B7" s="11" t="n">
        <v>82000</v>
      </c>
      <c r="C7" s="11" t="n">
        <v>95000</v>
      </c>
      <c r="D7" s="11" t="n">
        <v>97705</v>
      </c>
      <c r="E7" s="11" t="n">
        <v>97273</v>
      </c>
      <c r="F7" s="11" t="n">
        <v>117273</v>
      </c>
      <c r="G7" s="12" t="n">
        <v>144150</v>
      </c>
      <c r="H7" s="12" t="n">
        <v>161445</v>
      </c>
      <c r="I7" s="12" t="n">
        <v>179205</v>
      </c>
      <c r="J7" s="12" t="n">
        <v>197130</v>
      </c>
      <c r="K7" s="12" t="n">
        <v>214875</v>
      </c>
    </row>
    <row r="8">
      <c r="A8" s="8" t="inlineStr">
        <is>
          <t>Stock-based compensation</t>
        </is>
      </c>
      <c r="B8" s="11" t="n">
        <v>443000</v>
      </c>
      <c r="C8" s="11" t="n">
        <v>468000</v>
      </c>
      <c r="D8" s="11" t="n">
        <v>563292</v>
      </c>
      <c r="E8" s="11" t="n">
        <v>692316</v>
      </c>
      <c r="F8" s="11" t="n">
        <v>893294</v>
      </c>
      <c r="G8" s="12" t="n">
        <v>1057100</v>
      </c>
      <c r="H8" s="12" t="n">
        <v>1183930</v>
      </c>
      <c r="I8" s="12" t="n">
        <v>1314170</v>
      </c>
      <c r="J8" s="12" t="n">
        <v>1445620</v>
      </c>
      <c r="K8" s="12" t="n">
        <v>1575750</v>
      </c>
    </row>
    <row r="9">
      <c r="A9" s="8" t="inlineStr">
        <is>
          <t>Gain on divestitures, net</t>
        </is>
      </c>
      <c r="B9" s="11" t="n"/>
      <c r="C9" s="11" t="n"/>
      <c r="D9" s="11" t="n">
        <v>0</v>
      </c>
      <c r="E9" s="11" t="n">
        <v>-868830</v>
      </c>
      <c r="F9" s="11" t="n">
        <v>-508044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</row>
    <row r="10">
      <c r="A10" s="8" t="inlineStr">
        <is>
          <t>Deferred income taxes</t>
        </is>
      </c>
      <c r="B10" s="11" t="n">
        <v>-185000</v>
      </c>
      <c r="C10" s="11" t="n">
        <v>-88000</v>
      </c>
      <c r="D10" s="11" t="n">
        <v>-211045</v>
      </c>
      <c r="E10" s="11" t="n">
        <v>-407649</v>
      </c>
      <c r="F10" s="11" t="n">
        <v>-470693</v>
      </c>
      <c r="G10" s="12" t="n">
        <v>-192200</v>
      </c>
      <c r="H10" s="12" t="n">
        <v>-215260</v>
      </c>
      <c r="I10" s="12" t="n">
        <v>-238940</v>
      </c>
      <c r="J10" s="12" t="n">
        <v>-262840</v>
      </c>
      <c r="K10" s="12" t="n">
        <v>-286500</v>
      </c>
    </row>
    <row r="11">
      <c r="A11" s="8" t="inlineStr">
        <is>
          <t>Other non-cash</t>
        </is>
      </c>
      <c r="B11" s="11" t="n">
        <v>35000</v>
      </c>
      <c r="C11" s="11" t="n">
        <v>21000</v>
      </c>
      <c r="D11" s="11" t="n">
        <v>52900</v>
      </c>
      <c r="E11" s="11" t="n">
        <v>73587</v>
      </c>
      <c r="F11" s="11" t="n">
        <v>53237</v>
      </c>
      <c r="G11" s="12" t="n">
        <v>48050</v>
      </c>
      <c r="H11" s="12" t="n">
        <v>53815</v>
      </c>
      <c r="I11" s="12" t="n">
        <v>59735</v>
      </c>
      <c r="J11" s="12" t="n">
        <v>65710</v>
      </c>
      <c r="K11" s="12" t="n">
        <v>71625</v>
      </c>
    </row>
    <row r="12">
      <c r="A12" s="8" t="inlineStr">
        <is>
          <t>Δ Working capital</t>
        </is>
      </c>
      <c r="B12" s="11" t="n">
        <v>-110000</v>
      </c>
      <c r="C12" s="11" t="n">
        <v>-190000</v>
      </c>
      <c r="D12" s="11" t="n">
        <v>-327340</v>
      </c>
      <c r="E12" s="11" t="n">
        <v>-707572</v>
      </c>
      <c r="F12" s="11" t="n">
        <v>-496393</v>
      </c>
      <c r="G12" s="12" t="n">
        <v>-384400</v>
      </c>
      <c r="H12" s="12" t="n">
        <v>-430520</v>
      </c>
      <c r="I12" s="12" t="n">
        <v>-477880</v>
      </c>
      <c r="J12" s="12" t="n">
        <v>-525680</v>
      </c>
      <c r="K12" s="12" t="n">
        <v>-573000</v>
      </c>
    </row>
    <row r="13">
      <c r="A13" s="13" t="inlineStr">
        <is>
          <t>Net cash from operating</t>
        </is>
      </c>
      <c r="B13" s="14" t="n">
        <v>1543359</v>
      </c>
      <c r="C13" s="14" t="n">
        <v>1469436</v>
      </c>
      <c r="D13" s="14" t="n">
        <v>1703274</v>
      </c>
      <c r="E13" s="14" t="n">
        <v>1407029</v>
      </c>
      <c r="F13" s="14" t="n">
        <v>1518608</v>
      </c>
      <c r="G13" s="14" t="n">
        <v>2237970</v>
      </c>
      <c r="H13" s="14" t="n">
        <v>2837569.88</v>
      </c>
      <c r="I13" s="14" t="n">
        <v>3488180.44</v>
      </c>
      <c r="J13" s="14" t="n">
        <v>4183915.76</v>
      </c>
      <c r="K13" s="14" t="n">
        <v>4916673</v>
      </c>
    </row>
    <row r="15">
      <c r="A15" s="6" t="inlineStr">
        <is>
          <t>CASH FROM INVESTING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>
      <c r="A16" s="8" t="inlineStr">
        <is>
          <t>Purchases of investments</t>
        </is>
      </c>
      <c r="B16" s="11" t="n">
        <v>-185000</v>
      </c>
      <c r="C16" s="11" t="n">
        <v>-178000</v>
      </c>
      <c r="D16" s="11" t="n">
        <v>-195000</v>
      </c>
      <c r="E16" s="11" t="n">
        <v>-135000</v>
      </c>
      <c r="F16" s="11" t="n">
        <v>-125000</v>
      </c>
      <c r="G16" s="12" t="n">
        <v>-130000</v>
      </c>
      <c r="H16" s="12" t="n">
        <v>-130000</v>
      </c>
      <c r="I16" s="12" t="n">
        <v>-130000</v>
      </c>
      <c r="J16" s="12" t="n">
        <v>-130000</v>
      </c>
      <c r="K16" s="12" t="n">
        <v>-130000</v>
      </c>
    </row>
    <row r="17">
      <c r="A17" s="8" t="inlineStr">
        <is>
          <t>Proceeds from investments</t>
        </is>
      </c>
      <c r="B17" s="11" t="n">
        <v>188000</v>
      </c>
      <c r="C17" s="11" t="n">
        <v>176000</v>
      </c>
      <c r="D17" s="11" t="n">
        <v>180000</v>
      </c>
      <c r="E17" s="11" t="n">
        <v>126703</v>
      </c>
      <c r="F17" s="11" t="n">
        <v>58016</v>
      </c>
      <c r="G17" s="12" t="n">
        <v>60000</v>
      </c>
      <c r="H17" s="12" t="n">
        <v>60000</v>
      </c>
      <c r="I17" s="12" t="n">
        <v>60000</v>
      </c>
      <c r="J17" s="12" t="n">
        <v>60000</v>
      </c>
      <c r="K17" s="12" t="n">
        <v>60000</v>
      </c>
    </row>
    <row r="18">
      <c r="A18" s="8" t="inlineStr">
        <is>
          <t>Capex</t>
        </is>
      </c>
      <c r="B18" s="11" t="n">
        <v>-145000</v>
      </c>
      <c r="C18" s="11" t="n">
        <v>-148000</v>
      </c>
      <c r="D18" s="11" t="n">
        <v>-178500</v>
      </c>
      <c r="E18" s="11" t="n">
        <v>-127700</v>
      </c>
      <c r="F18" s="11" t="n">
        <v>-158400</v>
      </c>
      <c r="G18" s="12" t="n">
        <v>-211420</v>
      </c>
      <c r="H18" s="12" t="n">
        <v>-236786</v>
      </c>
      <c r="I18" s="12" t="n">
        <v>-262834</v>
      </c>
      <c r="J18" s="12" t="n">
        <v>-289124</v>
      </c>
      <c r="K18" s="12" t="n">
        <v>-315150</v>
      </c>
    </row>
    <row r="19">
      <c r="A19" s="8" t="inlineStr">
        <is>
          <t>Cash paid in business combinations</t>
        </is>
      </c>
      <c r="B19" s="11" t="n">
        <v>-265000</v>
      </c>
      <c r="C19" s="11" t="n">
        <v>-400000</v>
      </c>
      <c r="D19" s="11" t="n">
        <v>-150000</v>
      </c>
      <c r="E19" s="11" t="n">
        <v>-75000</v>
      </c>
      <c r="F19" s="11" t="n">
        <v>-23400000</v>
      </c>
      <c r="G19" s="12" t="n">
        <v>-100000</v>
      </c>
      <c r="H19" s="12" t="n">
        <v>-100000</v>
      </c>
      <c r="I19" s="12" t="n">
        <v>-100000</v>
      </c>
      <c r="J19" s="12" t="n">
        <v>-100000</v>
      </c>
      <c r="K19" s="12" t="n">
        <v>-100000</v>
      </c>
    </row>
    <row r="20">
      <c r="A20" s="8" t="inlineStr">
        <is>
          <t>Proceeds from divestitures</t>
        </is>
      </c>
      <c r="B20" s="11" t="n">
        <v>0</v>
      </c>
      <c r="C20" s="11" t="n">
        <v>0</v>
      </c>
      <c r="D20" s="11" t="n">
        <v>0</v>
      </c>
      <c r="E20" s="11" t="n">
        <v>1385000</v>
      </c>
      <c r="F20" s="11" t="n">
        <v>1745000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</row>
    <row r="21">
      <c r="A21" s="8" t="inlineStr">
        <is>
          <t>Other investing</t>
        </is>
      </c>
      <c r="B21" s="11" t="n">
        <v>5000</v>
      </c>
      <c r="C21" s="11" t="n">
        <v>2000</v>
      </c>
      <c r="D21" s="11" t="n">
        <v>-3500</v>
      </c>
      <c r="E21" s="11" t="n">
        <v>-25000</v>
      </c>
      <c r="F21" s="11" t="n">
        <v>35000</v>
      </c>
      <c r="G21" s="12" t="n">
        <v>15000</v>
      </c>
      <c r="H21" s="12" t="n">
        <v>15000</v>
      </c>
      <c r="I21" s="12" t="n">
        <v>15000</v>
      </c>
      <c r="J21" s="12" t="n">
        <v>15000</v>
      </c>
      <c r="K21" s="12" t="n">
        <v>15000</v>
      </c>
    </row>
    <row r="22">
      <c r="A22" s="13" t="inlineStr">
        <is>
          <t>Net cash used investing</t>
        </is>
      </c>
      <c r="B22" s="14" t="n">
        <v>-402000</v>
      </c>
      <c r="C22" s="14" t="n">
        <v>-548000</v>
      </c>
      <c r="D22" s="14" t="n">
        <v>-347000</v>
      </c>
      <c r="E22" s="14" t="n">
        <v>1149003</v>
      </c>
      <c r="F22" s="14" t="n">
        <v>-21845384</v>
      </c>
      <c r="G22" s="14" t="n">
        <v>-366420</v>
      </c>
      <c r="H22" s="14" t="n">
        <v>-391786</v>
      </c>
      <c r="I22" s="14" t="n">
        <v>-417834</v>
      </c>
      <c r="J22" s="14" t="n">
        <v>-444124</v>
      </c>
      <c r="K22" s="14" t="n">
        <v>-470150</v>
      </c>
    </row>
    <row r="24">
      <c r="A24" s="6" t="inlineStr">
        <is>
          <t>CASH FROM FINANCING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8" t="inlineStr">
        <is>
          <t>Proceeds from debt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13500000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</row>
    <row r="26">
      <c r="A26" s="8" t="inlineStr">
        <is>
          <t>Repurchases of common stock</t>
        </is>
      </c>
      <c r="B26" s="11" t="n">
        <v>-475000</v>
      </c>
      <c r="C26" s="11" t="n">
        <v>-1010000</v>
      </c>
      <c r="D26" s="11" t="n">
        <v>-1000000</v>
      </c>
      <c r="E26" s="11" t="n">
        <v>-100000</v>
      </c>
      <c r="F26" s="11" t="n">
        <v>-800000</v>
      </c>
      <c r="G26" s="12" t="n">
        <v>-600000</v>
      </c>
      <c r="H26" s="12" t="n">
        <v>-700000</v>
      </c>
      <c r="I26" s="12" t="n">
        <v>-800000</v>
      </c>
      <c r="J26" s="12" t="n">
        <v>-900000</v>
      </c>
      <c r="K26" s="12" t="n">
        <v>-1000000</v>
      </c>
    </row>
    <row r="27">
      <c r="A27" s="8" t="inlineStr">
        <is>
          <t>Tax withholding on equity awards</t>
        </is>
      </c>
      <c r="B27" s="11" t="n">
        <v>-100000</v>
      </c>
      <c r="C27" s="11" t="n">
        <v>-128000</v>
      </c>
      <c r="D27" s="11" t="n">
        <v>-110000</v>
      </c>
      <c r="E27" s="11" t="n">
        <v>-140000</v>
      </c>
      <c r="F27" s="11" t="n">
        <v>-195000</v>
      </c>
      <c r="G27" s="12" t="n">
        <v>-200000</v>
      </c>
      <c r="H27" s="12" t="n">
        <v>-200000</v>
      </c>
      <c r="I27" s="12" t="n">
        <v>-200000</v>
      </c>
      <c r="J27" s="12" t="n">
        <v>-200000</v>
      </c>
      <c r="K27" s="12" t="n">
        <v>-200000</v>
      </c>
    </row>
    <row r="28">
      <c r="A28" s="8" t="inlineStr">
        <is>
          <t>Other financing</t>
        </is>
      </c>
      <c r="B28" s="11" t="n">
        <v>-3000</v>
      </c>
      <c r="C28" s="11" t="n">
        <v>-5000</v>
      </c>
      <c r="D28" s="11" t="n">
        <v>5000</v>
      </c>
      <c r="E28" s="11" t="n">
        <v>0</v>
      </c>
      <c r="F28" s="11" t="n">
        <v>2750000</v>
      </c>
      <c r="G28" s="12" t="n">
        <v>-1500000</v>
      </c>
      <c r="H28" s="12" t="n">
        <v>-1500000</v>
      </c>
      <c r="I28" s="12" t="n">
        <v>-1500000</v>
      </c>
      <c r="J28" s="12" t="n">
        <v>-1500000</v>
      </c>
      <c r="K28" s="12" t="n">
        <v>-1500000</v>
      </c>
    </row>
    <row r="29">
      <c r="A29" s="13" t="inlineStr">
        <is>
          <t>Net cash from financing</t>
        </is>
      </c>
      <c r="B29" s="14" t="n">
        <v>-578000</v>
      </c>
      <c r="C29" s="14" t="n">
        <v>-1143000</v>
      </c>
      <c r="D29" s="14" t="n">
        <v>-1105000</v>
      </c>
      <c r="E29" s="14" t="n">
        <v>-240000</v>
      </c>
      <c r="F29" s="14" t="n">
        <v>15255000</v>
      </c>
      <c r="G29" s="14" t="n">
        <v>-2300000</v>
      </c>
      <c r="H29" s="14" t="n">
        <v>-2400000</v>
      </c>
      <c r="I29" s="14" t="n">
        <v>-2500000</v>
      </c>
      <c r="J29" s="14" t="n">
        <v>-2600000</v>
      </c>
      <c r="K29" s="14" t="n">
        <v>-2700000</v>
      </c>
    </row>
    <row r="31">
      <c r="A31" s="6" t="inlineStr">
        <is>
          <t>RECONCILIATION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8" t="inlineStr">
        <is>
          <t>Effect of FX on cash</t>
        </is>
      </c>
      <c r="B32" s="11" t="n">
        <v>2000</v>
      </c>
      <c r="C32" s="11" t="n">
        <v>-9000</v>
      </c>
      <c r="D32" s="11" t="n">
        <v>7000</v>
      </c>
      <c r="E32" s="11" t="n">
        <v>3000</v>
      </c>
      <c r="F32" s="11" t="n">
        <v>62274</v>
      </c>
      <c r="G32" s="12" t="n">
        <v>20000</v>
      </c>
      <c r="H32" s="12" t="n">
        <v>20000</v>
      </c>
      <c r="I32" s="12" t="n">
        <v>20000</v>
      </c>
      <c r="J32" s="12" t="n">
        <v>20000</v>
      </c>
      <c r="K32" s="12" t="n">
        <v>20000</v>
      </c>
    </row>
    <row r="33">
      <c r="A33" s="13" t="inlineStr">
        <is>
          <t>Change in cash</t>
        </is>
      </c>
      <c r="B33" s="14" t="n">
        <v>565359</v>
      </c>
      <c r="C33" s="14" t="n">
        <v>-230564</v>
      </c>
      <c r="D33" s="14" t="n">
        <v>258274</v>
      </c>
      <c r="E33" s="14" t="n">
        <v>2319032</v>
      </c>
      <c r="F33" s="14" t="n">
        <v>-5009502</v>
      </c>
      <c r="G33" s="14" t="n">
        <v>-408450</v>
      </c>
      <c r="H33" s="14" t="n">
        <v>65783.87999999989</v>
      </c>
      <c r="I33" s="14" t="n">
        <v>590346.4399999999</v>
      </c>
      <c r="J33" s="14" t="n">
        <v>1159791.76</v>
      </c>
      <c r="K33" s="14" t="n">
        <v>1766523</v>
      </c>
    </row>
    <row r="35">
      <c r="A35" s="6" t="inlineStr">
        <is>
          <t>FREE CASH FLOW (CFO - Capex)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A36" s="13" t="inlineStr">
        <is>
          <t>Free cash flow</t>
        </is>
      </c>
      <c r="B36" s="14" t="n">
        <v>1398359</v>
      </c>
      <c r="C36" s="14" t="n">
        <v>1321436</v>
      </c>
      <c r="D36" s="14" t="n">
        <v>1524774</v>
      </c>
      <c r="E36" s="14" t="n">
        <v>1279329</v>
      </c>
      <c r="F36" s="14" t="n">
        <v>1360208</v>
      </c>
      <c r="G36" s="14" t="n">
        <v>2026550</v>
      </c>
      <c r="H36" s="14" t="n">
        <v>2600783.88</v>
      </c>
      <c r="I36" s="14" t="n">
        <v>3225346.44</v>
      </c>
      <c r="J36" s="14" t="n">
        <v>3894791.76</v>
      </c>
      <c r="K36" s="14" t="n">
        <v>4601523</v>
      </c>
    </row>
    <row r="37">
      <c r="A37" s="8" t="inlineStr">
        <is>
          <t>FCF margin</t>
        </is>
      </c>
      <c r="B37" s="9" t="n">
        <v>0.3326105628357214</v>
      </c>
      <c r="C37" s="9" t="n">
        <v>0.2600462615481678</v>
      </c>
      <c r="D37" s="9" t="n">
        <v>0.2867186885931478</v>
      </c>
      <c r="E37" s="9" t="n">
        <v>0.2087870032424655</v>
      </c>
      <c r="F37" s="9" t="n">
        <v>0.1928230333853214</v>
      </c>
      <c r="G37" s="10" t="n">
        <v>0.2108792924037461</v>
      </c>
      <c r="H37" s="10" t="n">
        <v>0.2416411669608845</v>
      </c>
      <c r="I37" s="10" t="n">
        <v>0.2699712429898719</v>
      </c>
      <c r="J37" s="10" t="n">
        <v>0.2963621792725613</v>
      </c>
      <c r="K37" s="10" t="n">
        <v>0.3212232460732984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4" t="inlineStr">
        <is>
          <t>Synopsys – BALANCE SHEET ($000s)</t>
        </is>
      </c>
    </row>
    <row r="3">
      <c r="A3" s="5" t="inlineStr"/>
      <c r="B3" s="5" t="inlineStr">
        <is>
          <t>FY2021</t>
        </is>
      </c>
      <c r="C3" s="5" t="inlineStr">
        <is>
          <t>FY2022</t>
        </is>
      </c>
      <c r="D3" s="5" t="inlineStr">
        <is>
          <t>FY2023</t>
        </is>
      </c>
      <c r="E3" s="5" t="inlineStr">
        <is>
          <t>FY2024</t>
        </is>
      </c>
      <c r="F3" s="5" t="inlineStr">
        <is>
          <t>FY2025</t>
        </is>
      </c>
      <c r="G3" s="5" t="inlineStr">
        <is>
          <t>FY2026E</t>
        </is>
      </c>
      <c r="H3" s="5" t="inlineStr">
        <is>
          <t>FY2027E</t>
        </is>
      </c>
      <c r="I3" s="5" t="inlineStr">
        <is>
          <t>FY2028E</t>
        </is>
      </c>
      <c r="J3" s="5" t="inlineStr">
        <is>
          <t>FY2029E</t>
        </is>
      </c>
      <c r="K3" s="5" t="inlineStr">
        <is>
          <t>FY2030E</t>
        </is>
      </c>
    </row>
    <row r="4">
      <c r="A4" s="6" t="inlineStr">
        <is>
          <t>ASSETS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>
      <c r="A5" s="8" t="inlineStr">
        <is>
          <t>Cash &amp; equivalents</t>
        </is>
      </c>
      <c r="B5" s="11" t="n">
        <v>1432840</v>
      </c>
      <c r="C5" s="11" t="n">
        <v>1417608</v>
      </c>
      <c r="D5" s="11" t="n">
        <v>1443137</v>
      </c>
      <c r="E5" s="11" t="n">
        <v>3896532</v>
      </c>
      <c r="F5" s="11" t="n">
        <v>2888030</v>
      </c>
      <c r="G5" s="12" t="n">
        <v>2479580</v>
      </c>
      <c r="H5" s="12" t="n">
        <v>2545363.88</v>
      </c>
      <c r="I5" s="12" t="n">
        <v>3135710.32</v>
      </c>
      <c r="J5" s="12" t="n">
        <v>4295502.08</v>
      </c>
      <c r="K5" s="12" t="n">
        <v>6062025.08</v>
      </c>
    </row>
    <row r="6">
      <c r="A6" s="8" t="inlineStr">
        <is>
          <t>Short-term investments</t>
        </is>
      </c>
      <c r="B6" s="11" t="n">
        <v>147949</v>
      </c>
      <c r="C6" s="11" t="n">
        <v>147913</v>
      </c>
      <c r="D6" s="11" t="n">
        <v>215898</v>
      </c>
      <c r="E6" s="11" t="n">
        <v>153869</v>
      </c>
      <c r="F6" s="11" t="n">
        <v>72929</v>
      </c>
      <c r="G6" s="12" t="n">
        <v>76575.45</v>
      </c>
      <c r="H6" s="12" t="n">
        <v>80221.90000000001</v>
      </c>
      <c r="I6" s="12" t="n">
        <v>83868.34999999999</v>
      </c>
      <c r="J6" s="12" t="n">
        <v>87514.8</v>
      </c>
      <c r="K6" s="12" t="n">
        <v>91161.25</v>
      </c>
    </row>
    <row r="7">
      <c r="A7" s="8" t="inlineStr">
        <is>
          <t>Accounts receivable, net</t>
        </is>
      </c>
      <c r="B7" s="11" t="n">
        <v>568501</v>
      </c>
      <c r="C7" s="11" t="n">
        <v>796091</v>
      </c>
      <c r="D7" s="11" t="n">
        <v>913440</v>
      </c>
      <c r="E7" s="11" t="n">
        <v>934470</v>
      </c>
      <c r="F7" s="11" t="n">
        <v>1505427</v>
      </c>
      <c r="G7" s="12" t="n">
        <v>2018100</v>
      </c>
      <c r="H7" s="12" t="n">
        <v>2260230</v>
      </c>
      <c r="I7" s="12" t="n">
        <v>2508870</v>
      </c>
      <c r="J7" s="12" t="n">
        <v>2759820</v>
      </c>
      <c r="K7" s="12" t="n">
        <v>3008250</v>
      </c>
    </row>
    <row r="8">
      <c r="A8" s="8" t="inlineStr">
        <is>
          <t>Inventories</t>
        </is>
      </c>
      <c r="B8" s="11" t="n">
        <v>229023</v>
      </c>
      <c r="C8" s="11" t="n">
        <v>211927</v>
      </c>
      <c r="D8" s="11" t="n">
        <v>428710</v>
      </c>
      <c r="E8" s="11" t="n">
        <v>361849</v>
      </c>
      <c r="F8" s="11" t="n">
        <v>365190</v>
      </c>
      <c r="G8" s="12" t="n">
        <v>480500</v>
      </c>
      <c r="H8" s="12" t="n">
        <v>538150</v>
      </c>
      <c r="I8" s="12" t="n">
        <v>597350</v>
      </c>
      <c r="J8" s="12" t="n">
        <v>657100</v>
      </c>
      <c r="K8" s="12" t="n">
        <v>716250</v>
      </c>
    </row>
    <row r="9">
      <c r="A9" s="8" t="inlineStr">
        <is>
          <t>Prepaid and other current assets</t>
        </is>
      </c>
      <c r="B9" s="11" t="n">
        <v>430028</v>
      </c>
      <c r="C9" s="11" t="n">
        <v>439130</v>
      </c>
      <c r="D9" s="11" t="n">
        <v>856710</v>
      </c>
      <c r="E9" s="11" t="n">
        <v>1122946</v>
      </c>
      <c r="F9" s="11" t="n">
        <v>1180526</v>
      </c>
      <c r="G9" s="12" t="n">
        <v>1633700</v>
      </c>
      <c r="H9" s="12" t="n">
        <v>1829710</v>
      </c>
      <c r="I9" s="12" t="n">
        <v>2030990</v>
      </c>
      <c r="J9" s="12" t="n">
        <v>2234140</v>
      </c>
      <c r="K9" s="12" t="n">
        <v>2435250</v>
      </c>
    </row>
    <row r="10">
      <c r="A10" s="13" t="inlineStr">
        <is>
          <t>Total current assets</t>
        </is>
      </c>
      <c r="B10" s="14" t="n">
        <v>2808341</v>
      </c>
      <c r="C10" s="14" t="n">
        <v>3012669</v>
      </c>
      <c r="D10" s="14" t="n">
        <v>3857895</v>
      </c>
      <c r="E10" s="14" t="n">
        <v>6469666</v>
      </c>
      <c r="F10" s="14" t="n">
        <v>6012102</v>
      </c>
      <c r="G10" s="14" t="n">
        <v>6688455.45</v>
      </c>
      <c r="H10" s="14" t="n">
        <v>7253675.779999999</v>
      </c>
      <c r="I10" s="14" t="n">
        <v>8356788.67</v>
      </c>
      <c r="J10" s="14" t="n">
        <v>10034076.88</v>
      </c>
      <c r="K10" s="14" t="n">
        <v>12312936.33</v>
      </c>
    </row>
    <row r="11">
      <c r="A11" s="8" t="inlineStr">
        <is>
          <t>Property and equipment, net</t>
        </is>
      </c>
      <c r="B11" s="11" t="n">
        <v>472398</v>
      </c>
      <c r="C11" s="11" t="n">
        <v>483300</v>
      </c>
      <c r="D11" s="11" t="n">
        <v>542115</v>
      </c>
      <c r="E11" s="11" t="n">
        <v>563006</v>
      </c>
      <c r="F11" s="11" t="n">
        <v>696693</v>
      </c>
      <c r="G11" s="12" t="n">
        <v>752428.4400000001</v>
      </c>
      <c r="H11" s="12" t="n">
        <v>808163.8799999999</v>
      </c>
      <c r="I11" s="12" t="n">
        <v>863899.3199999999</v>
      </c>
      <c r="J11" s="12" t="n">
        <v>919634.76</v>
      </c>
      <c r="K11" s="12" t="n">
        <v>975370.2</v>
      </c>
    </row>
    <row r="12">
      <c r="A12" s="8" t="inlineStr">
        <is>
          <t>Operating lease ROU assets</t>
        </is>
      </c>
      <c r="B12" s="11" t="n">
        <v>493251</v>
      </c>
      <c r="C12" s="11" t="n">
        <v>559090</v>
      </c>
      <c r="D12" s="11" t="n">
        <v>587530</v>
      </c>
      <c r="E12" s="11" t="n">
        <v>565917</v>
      </c>
      <c r="F12" s="11" t="n">
        <v>702008</v>
      </c>
      <c r="G12" s="12" t="n">
        <v>723068.24</v>
      </c>
      <c r="H12" s="12" t="n">
        <v>744128.48</v>
      </c>
      <c r="I12" s="12" t="n">
        <v>765188.7200000001</v>
      </c>
      <c r="J12" s="12" t="n">
        <v>786248.9600000001</v>
      </c>
      <c r="K12" s="12" t="n">
        <v>807309.2</v>
      </c>
    </row>
    <row r="13">
      <c r="A13" s="8" t="inlineStr">
        <is>
          <t>Goodwill</t>
        </is>
      </c>
      <c r="B13" s="11" t="n">
        <v>3575785</v>
      </c>
      <c r="C13" s="11" t="n">
        <v>3842234</v>
      </c>
      <c r="D13" s="11" t="n">
        <v>3346065</v>
      </c>
      <c r="E13" s="11" t="n">
        <v>3448850</v>
      </c>
      <c r="F13" s="11" t="n">
        <v>26899215</v>
      </c>
      <c r="G13" s="12" t="n">
        <v>26899215</v>
      </c>
      <c r="H13" s="12" t="n">
        <v>26899215</v>
      </c>
      <c r="I13" s="12" t="n">
        <v>26899215</v>
      </c>
      <c r="J13" s="12" t="n">
        <v>26899215</v>
      </c>
      <c r="K13" s="12" t="n">
        <v>26899215</v>
      </c>
    </row>
    <row r="14">
      <c r="A14" s="8" t="inlineStr">
        <is>
          <t>Intangible assets, net</t>
        </is>
      </c>
      <c r="B14" s="11" t="n">
        <v>279132</v>
      </c>
      <c r="C14" s="11" t="n">
        <v>386446</v>
      </c>
      <c r="D14" s="11" t="n">
        <v>215690</v>
      </c>
      <c r="E14" s="11" t="n">
        <v>195164</v>
      </c>
      <c r="F14" s="11" t="n">
        <v>12679591</v>
      </c>
      <c r="G14" s="12" t="n">
        <v>12079591</v>
      </c>
      <c r="H14" s="12" t="n">
        <v>11479591</v>
      </c>
      <c r="I14" s="12" t="n">
        <v>10879591</v>
      </c>
      <c r="J14" s="12" t="n">
        <v>10279591</v>
      </c>
      <c r="K14" s="12" t="n">
        <v>9679591</v>
      </c>
    </row>
    <row r="15">
      <c r="A15" s="8" t="inlineStr">
        <is>
          <t>Deferred income taxes</t>
        </is>
      </c>
      <c r="B15" s="11" t="n">
        <v>612655</v>
      </c>
      <c r="C15" s="11" t="n">
        <v>670653</v>
      </c>
      <c r="D15" s="11" t="n">
        <v>876115</v>
      </c>
      <c r="E15" s="11" t="n">
        <v>1247258</v>
      </c>
      <c r="F15" s="11" t="n">
        <v>112159</v>
      </c>
      <c r="G15" s="12" t="n">
        <v>123374.9</v>
      </c>
      <c r="H15" s="12" t="n">
        <v>134590.8</v>
      </c>
      <c r="I15" s="12" t="n">
        <v>145806.7</v>
      </c>
      <c r="J15" s="12" t="n">
        <v>157022.6</v>
      </c>
      <c r="K15" s="12" t="n">
        <v>168238.5</v>
      </c>
    </row>
    <row r="16">
      <c r="A16" s="8" t="inlineStr">
        <is>
          <t>Other long-term assets</t>
        </is>
      </c>
      <c r="B16" s="11" t="n">
        <v>510698</v>
      </c>
      <c r="C16" s="11" t="n">
        <v>463695</v>
      </c>
      <c r="D16" s="11" t="n">
        <v>538945</v>
      </c>
      <c r="E16" s="11" t="n">
        <v>583700</v>
      </c>
      <c r="F16" s="11" t="n">
        <v>1122693</v>
      </c>
      <c r="G16" s="12" t="n">
        <v>1167600.72</v>
      </c>
      <c r="H16" s="12" t="n">
        <v>1212508.44</v>
      </c>
      <c r="I16" s="12" t="n">
        <v>1257416.16</v>
      </c>
      <c r="J16" s="12" t="n">
        <v>1302323.88</v>
      </c>
      <c r="K16" s="12" t="n">
        <v>1347231.6</v>
      </c>
    </row>
    <row r="17">
      <c r="A17" s="13" t="inlineStr">
        <is>
          <t>Total assets</t>
        </is>
      </c>
      <c r="B17" s="14" t="n">
        <v>8752260</v>
      </c>
      <c r="C17" s="14" t="n">
        <v>9418087</v>
      </c>
      <c r="D17" s="14" t="n">
        <v>10004355</v>
      </c>
      <c r="E17" s="14" t="n">
        <v>13073561</v>
      </c>
      <c r="F17" s="14" t="n">
        <v>48224461</v>
      </c>
      <c r="G17" s="14" t="n">
        <v>48433733.75</v>
      </c>
      <c r="H17" s="14" t="n">
        <v>48531873.38</v>
      </c>
      <c r="I17" s="14" t="n">
        <v>49167905.57000001</v>
      </c>
      <c r="J17" s="14" t="n">
        <v>50378113.08000001</v>
      </c>
      <c r="K17" s="14" t="n">
        <v>52189891.83</v>
      </c>
    </row>
    <row r="19">
      <c r="A19" s="6" t="inlineStr">
        <is>
          <t>LIABILITIES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>
      <c r="A20" s="8" t="inlineStr">
        <is>
          <t>Accounts payable and accrued</t>
        </is>
      </c>
      <c r="B20" s="11" t="n">
        <v>741191</v>
      </c>
      <c r="C20" s="11" t="n">
        <v>809403</v>
      </c>
      <c r="D20" s="11" t="n">
        <v>878120</v>
      </c>
      <c r="E20" s="11" t="n">
        <v>1163592</v>
      </c>
      <c r="F20" s="11" t="n">
        <v>1326211</v>
      </c>
      <c r="G20" s="12" t="n">
        <v>1729800</v>
      </c>
      <c r="H20" s="12" t="n">
        <v>1937340</v>
      </c>
      <c r="I20" s="12" t="n">
        <v>2150460</v>
      </c>
      <c r="J20" s="12" t="n">
        <v>2365560</v>
      </c>
      <c r="K20" s="12" t="n">
        <v>2578500</v>
      </c>
    </row>
    <row r="21">
      <c r="A21" s="8" t="inlineStr">
        <is>
          <t>Operating lease liabilities (current)</t>
        </is>
      </c>
      <c r="B21" s="11" t="n">
        <v>79678</v>
      </c>
      <c r="C21" s="11" t="n">
        <v>54274</v>
      </c>
      <c r="D21" s="11" t="n">
        <v>96525</v>
      </c>
      <c r="E21" s="11" t="n">
        <v>94791</v>
      </c>
      <c r="F21" s="11" t="n">
        <v>128205</v>
      </c>
      <c r="G21" s="12" t="n">
        <v>134615.25</v>
      </c>
      <c r="H21" s="12" t="n">
        <v>141025.5</v>
      </c>
      <c r="I21" s="12" t="n">
        <v>147435.75</v>
      </c>
      <c r="J21" s="12" t="n">
        <v>153846</v>
      </c>
      <c r="K21" s="12" t="n">
        <v>160256.25</v>
      </c>
    </row>
    <row r="22">
      <c r="A22" s="8" t="inlineStr">
        <is>
          <t>Deferred revenue</t>
        </is>
      </c>
      <c r="B22" s="11" t="n">
        <v>1517623</v>
      </c>
      <c r="C22" s="11" t="n">
        <v>1910822</v>
      </c>
      <c r="D22" s="11" t="n">
        <v>1437320</v>
      </c>
      <c r="E22" s="11" t="n">
        <v>1391737</v>
      </c>
      <c r="F22" s="11" t="n">
        <v>2245961</v>
      </c>
      <c r="G22" s="12" t="n">
        <v>2883000</v>
      </c>
      <c r="H22" s="12" t="n">
        <v>3228900</v>
      </c>
      <c r="I22" s="12" t="n">
        <v>3584100</v>
      </c>
      <c r="J22" s="12" t="n">
        <v>3942600</v>
      </c>
      <c r="K22" s="12" t="n">
        <v>4297500</v>
      </c>
    </row>
    <row r="23">
      <c r="A23" s="8" t="inlineStr">
        <is>
          <t>Short-term debt</t>
        </is>
      </c>
      <c r="B23" s="11" t="n">
        <v>74992</v>
      </c>
      <c r="C23" s="11" t="n">
        <v>0</v>
      </c>
      <c r="D23" s="11" t="n">
        <v>0</v>
      </c>
      <c r="E23" s="11" t="n">
        <v>0</v>
      </c>
      <c r="F23" s="11" t="n">
        <v>22117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</row>
    <row r="24">
      <c r="A24" s="13" t="inlineStr">
        <is>
          <t>Total current liabilities</t>
        </is>
      </c>
      <c r="B24" s="14" t="n">
        <v>2413484</v>
      </c>
      <c r="C24" s="14" t="n">
        <v>2774499</v>
      </c>
      <c r="D24" s="14" t="n">
        <v>2411965</v>
      </c>
      <c r="E24" s="14" t="n">
        <v>2650120</v>
      </c>
      <c r="F24" s="14" t="n">
        <v>3722494</v>
      </c>
      <c r="G24" s="14" t="n">
        <v>4747415.25</v>
      </c>
      <c r="H24" s="14" t="n">
        <v>5307265.5</v>
      </c>
      <c r="I24" s="14" t="n">
        <v>5881995.75</v>
      </c>
      <c r="J24" s="14" t="n">
        <v>6462006</v>
      </c>
      <c r="K24" s="14" t="n">
        <v>7036256.25</v>
      </c>
    </row>
    <row r="25">
      <c r="A25" s="8" t="inlineStr">
        <is>
          <t>Long-term operating lease</t>
        </is>
      </c>
      <c r="B25" s="11" t="n">
        <v>450000</v>
      </c>
      <c r="C25" s="11" t="n">
        <v>505000</v>
      </c>
      <c r="D25" s="11" t="n">
        <v>500000</v>
      </c>
      <c r="E25" s="11" t="n">
        <v>574065</v>
      </c>
      <c r="F25" s="11" t="n">
        <v>680698</v>
      </c>
      <c r="G25" s="12" t="n">
        <v>701118.9400000001</v>
      </c>
      <c r="H25" s="12" t="n">
        <v>721539.88</v>
      </c>
      <c r="I25" s="12" t="n">
        <v>741960.8200000001</v>
      </c>
      <c r="J25" s="12" t="n">
        <v>762381.7600000001</v>
      </c>
      <c r="K25" s="12" t="n">
        <v>782802.7</v>
      </c>
    </row>
    <row r="26">
      <c r="A26" s="8" t="inlineStr">
        <is>
          <t>Long-term deferred revenue</t>
        </is>
      </c>
      <c r="B26" s="11" t="n">
        <v>335000</v>
      </c>
      <c r="C26" s="11" t="n">
        <v>368000</v>
      </c>
      <c r="D26" s="11" t="n">
        <v>320000</v>
      </c>
      <c r="E26" s="11" t="n">
        <v>340831</v>
      </c>
      <c r="F26" s="11" t="n">
        <v>382557</v>
      </c>
      <c r="G26" s="12" t="n">
        <v>401684.85</v>
      </c>
      <c r="H26" s="12" t="n">
        <v>420812.7</v>
      </c>
      <c r="I26" s="12" t="n">
        <v>439940.55</v>
      </c>
      <c r="J26" s="12" t="n">
        <v>459068.4</v>
      </c>
      <c r="K26" s="12" t="n">
        <v>478196.25</v>
      </c>
    </row>
    <row r="27">
      <c r="A27" s="8" t="inlineStr">
        <is>
          <t>Long-term debt</t>
        </is>
      </c>
      <c r="B27" s="11" t="n">
        <v>16039</v>
      </c>
      <c r="C27" s="11" t="n">
        <v>14958</v>
      </c>
      <c r="D27" s="11" t="n">
        <v>13876</v>
      </c>
      <c r="E27" s="11" t="n">
        <v>15601</v>
      </c>
      <c r="F27" s="11" t="n">
        <v>13462398</v>
      </c>
      <c r="G27" s="12" t="n">
        <v>11962398</v>
      </c>
      <c r="H27" s="12" t="n">
        <v>10462398</v>
      </c>
      <c r="I27" s="12" t="n">
        <v>8962398</v>
      </c>
      <c r="J27" s="12" t="n">
        <v>7462398</v>
      </c>
      <c r="K27" s="12" t="n">
        <v>5962398</v>
      </c>
    </row>
    <row r="28">
      <c r="A28" s="8" t="inlineStr">
        <is>
          <t>Other long-term liabilities</t>
        </is>
      </c>
      <c r="B28" s="11" t="n">
        <v>349000</v>
      </c>
      <c r="C28" s="11" t="n">
        <v>391000</v>
      </c>
      <c r="D28" s="11" t="n">
        <v>422000</v>
      </c>
      <c r="E28" s="11" t="n">
        <v>469738</v>
      </c>
      <c r="F28" s="11" t="n">
        <v>1649299</v>
      </c>
      <c r="G28" s="12" t="n">
        <v>1698777.97</v>
      </c>
      <c r="H28" s="12" t="n">
        <v>1748256.94</v>
      </c>
      <c r="I28" s="12" t="n">
        <v>1797735.91</v>
      </c>
      <c r="J28" s="12" t="n">
        <v>1847214.88</v>
      </c>
      <c r="K28" s="12" t="n">
        <v>1896693.85</v>
      </c>
    </row>
    <row r="29">
      <c r="A29" s="13" t="inlineStr">
        <is>
          <t>Total liabilities</t>
        </is>
      </c>
      <c r="B29" s="14" t="n">
        <v>3563523</v>
      </c>
      <c r="C29" s="14" t="n">
        <v>4053457</v>
      </c>
      <c r="D29" s="14" t="n">
        <v>3667841</v>
      </c>
      <c r="E29" s="14" t="n">
        <v>4050355</v>
      </c>
      <c r="F29" s="14" t="n">
        <v>19897446</v>
      </c>
      <c r="G29" s="14" t="n">
        <v>19511395.01</v>
      </c>
      <c r="H29" s="14" t="n">
        <v>18660273.02</v>
      </c>
      <c r="I29" s="14" t="n">
        <v>17824031.03</v>
      </c>
      <c r="J29" s="14" t="n">
        <v>16993069.04</v>
      </c>
      <c r="K29" s="14" t="n">
        <v>16156347.05</v>
      </c>
    </row>
    <row r="31">
      <c r="A31" s="6" t="inlineStr">
        <is>
          <t>STOCKHOLDERS' EQUITY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13" t="inlineStr">
        <is>
          <t>Total stockholders' equity</t>
        </is>
      </c>
      <c r="B32" s="14" t="n">
        <v>5188737</v>
      </c>
      <c r="C32" s="14" t="n">
        <v>5364630</v>
      </c>
      <c r="D32" s="14" t="n">
        <v>6336514</v>
      </c>
      <c r="E32" s="14" t="n">
        <v>8993206</v>
      </c>
      <c r="F32" s="14" t="n">
        <v>28327015</v>
      </c>
      <c r="G32" s="14" t="n">
        <v>28922338.74</v>
      </c>
      <c r="H32" s="14" t="n">
        <v>29871600.36</v>
      </c>
      <c r="I32" s="14" t="n">
        <v>31343874.54000001</v>
      </c>
      <c r="J32" s="14" t="n">
        <v>33385044.04000001</v>
      </c>
      <c r="K32" s="14" t="n">
        <v>36033544.78</v>
      </c>
    </row>
    <row r="33">
      <c r="A33" s="13" t="inlineStr">
        <is>
          <t>Total liabilities and equity</t>
        </is>
      </c>
      <c r="B33" s="14" t="n">
        <v>8752260</v>
      </c>
      <c r="C33" s="14" t="n">
        <v>9418087</v>
      </c>
      <c r="D33" s="14" t="n">
        <v>10004355</v>
      </c>
      <c r="E33" s="14" t="n">
        <v>13073561</v>
      </c>
      <c r="F33" s="14" t="n">
        <v>48224461</v>
      </c>
      <c r="G33" s="14" t="n">
        <v>48433733.75</v>
      </c>
      <c r="H33" s="14" t="n">
        <v>48531873.38</v>
      </c>
      <c r="I33" s="14" t="n">
        <v>49167905.57000001</v>
      </c>
      <c r="J33" s="14" t="n">
        <v>50378113.08000001</v>
      </c>
      <c r="K33" s="14" t="n">
        <v>52189891.83</v>
      </c>
    </row>
    <row r="35">
      <c r="A35" s="6" t="inlineStr">
        <is>
          <t>KEY BS RATIOS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A36" s="8" t="inlineStr">
        <is>
          <t>Net debt (cash)</t>
        </is>
      </c>
      <c r="B36" s="11" t="n">
        <v>-1416801</v>
      </c>
      <c r="C36" s="11" t="n">
        <v>-1402650</v>
      </c>
      <c r="D36" s="11" t="n">
        <v>-1429261</v>
      </c>
      <c r="E36" s="11" t="n">
        <v>-3880931</v>
      </c>
      <c r="F36" s="11" t="n">
        <v>10574368</v>
      </c>
      <c r="G36" s="12" t="n">
        <v>9482818</v>
      </c>
      <c r="H36" s="12" t="n">
        <v>7917034.12</v>
      </c>
      <c r="I36" s="12" t="n">
        <v>5826687.68</v>
      </c>
      <c r="J36" s="12" t="n">
        <v>3166895.92</v>
      </c>
      <c r="K36" s="12" t="n">
        <v>-99627.08000000007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4" t="inlineStr">
        <is>
          <t>Synopsys – SCENARIOS (Bull / Base / Bear)</t>
        </is>
      </c>
    </row>
    <row r="2">
      <c r="A2" s="2" t="inlineStr">
        <is>
          <t>FY26E–FY30E base case from main model; Bull/Bear flex revenue ±200bps growth and ±200bps op margin per year.</t>
        </is>
      </c>
    </row>
    <row r="4">
      <c r="A4" s="5" t="inlineStr">
        <is>
          <t>Scenario</t>
        </is>
      </c>
      <c r="B4" s="5" t="inlineStr">
        <is>
          <t>FY2026E</t>
        </is>
      </c>
      <c r="C4" s="5" t="inlineStr">
        <is>
          <t>FY2027E</t>
        </is>
      </c>
      <c r="D4" s="5" t="inlineStr">
        <is>
          <t>FY2028E</t>
        </is>
      </c>
      <c r="E4" s="5" t="inlineStr">
        <is>
          <t>FY2029E</t>
        </is>
      </c>
      <c r="F4" s="5" t="inlineStr">
        <is>
          <t>FY2030E</t>
        </is>
      </c>
      <c r="G4" s="5" t="inlineStr">
        <is>
          <t>FY26-FY30 CAGR</t>
        </is>
      </c>
    </row>
    <row r="5">
      <c r="A5" s="6" t="inlineStr">
        <is>
          <t>REVENUE ($000s)</t>
        </is>
      </c>
      <c r="B5" s="7" t="n"/>
      <c r="C5" s="7" t="n"/>
      <c r="D5" s="7" t="n"/>
      <c r="E5" s="7" t="n"/>
      <c r="F5" s="7" t="n"/>
      <c r="G5" s="7" t="n"/>
    </row>
    <row r="6">
      <c r="A6" s="17" t="inlineStr">
        <is>
          <t>Bull case</t>
        </is>
      </c>
      <c r="B6" s="18" t="n">
        <v>9748873.996000001</v>
      </c>
      <c r="C6" s="18" t="n">
        <v>11113716.35544</v>
      </c>
      <c r="D6" s="18" t="n">
        <v>12558499.4816472</v>
      </c>
      <c r="E6" s="18" t="n">
        <v>14065519.41944486</v>
      </c>
      <c r="F6" s="18" t="n">
        <v>15612726.5555838</v>
      </c>
      <c r="G6" s="19" t="n">
        <v>0.1249444413165446</v>
      </c>
    </row>
    <row r="7">
      <c r="A7" s="20" t="inlineStr">
        <is>
          <t>Base case</t>
        </is>
      </c>
      <c r="B7" s="21" t="n">
        <v>9607790.436000001</v>
      </c>
      <c r="C7" s="21" t="n">
        <v>10760725.28832</v>
      </c>
      <c r="D7" s="21" t="n">
        <v>11944405.0700352</v>
      </c>
      <c r="E7" s="21" t="n">
        <v>13138845.57703872</v>
      </c>
      <c r="F7" s="21" t="n">
        <v>14321341.67897221</v>
      </c>
      <c r="G7" s="22" t="n">
        <v>0.1049434356131813</v>
      </c>
    </row>
    <row r="8">
      <c r="A8" s="23" t="inlineStr">
        <is>
          <t>Bear case</t>
        </is>
      </c>
      <c r="B8" s="24" t="n">
        <v>9466706.876</v>
      </c>
      <c r="C8" s="24" t="n">
        <v>10413377.5636</v>
      </c>
      <c r="D8" s="24" t="n">
        <v>11350581.544324</v>
      </c>
      <c r="E8" s="24" t="n">
        <v>12258628.06786992</v>
      </c>
      <c r="F8" s="24" t="n">
        <v>13116732.03262082</v>
      </c>
      <c r="G8" s="25" t="n">
        <v>0.08494239282658356</v>
      </c>
    </row>
    <row r="10">
      <c r="A10" s="6" t="inlineStr">
        <is>
          <t>OPERATING INCOME (GAAP) ($000s)</t>
        </is>
      </c>
      <c r="B10" s="7" t="n"/>
      <c r="C10" s="7" t="n"/>
      <c r="D10" s="7" t="n"/>
      <c r="E10" s="7" t="n"/>
      <c r="F10" s="7" t="n"/>
      <c r="G10" s="7" t="n"/>
    </row>
    <row r="11">
      <c r="A11" s="17" t="inlineStr">
        <is>
          <t>Bull case</t>
        </is>
      </c>
      <c r="B11" s="18" t="n">
        <v>2144752.27912</v>
      </c>
      <c r="C11" s="18" t="n">
        <v>2889566.2524144</v>
      </c>
      <c r="D11" s="18" t="n">
        <v>3767549.84449416</v>
      </c>
      <c r="E11" s="18" t="n">
        <v>4500966.214222357</v>
      </c>
      <c r="F11" s="18" t="n">
        <v>5308327.028898492</v>
      </c>
      <c r="G11" s="19" t="n">
        <v>0.2542818362450108</v>
      </c>
    </row>
    <row r="12">
      <c r="A12" s="20" t="inlineStr">
        <is>
          <t>Base case</t>
        </is>
      </c>
      <c r="B12" s="21" t="n">
        <v>1921558.0872</v>
      </c>
      <c r="C12" s="21" t="n">
        <v>2582574.0691968</v>
      </c>
      <c r="D12" s="21" t="n">
        <v>3344433.419609857</v>
      </c>
      <c r="E12" s="21" t="n">
        <v>3941653.673111617</v>
      </c>
      <c r="F12" s="21" t="n">
        <v>4582829.337271107</v>
      </c>
      <c r="G12" s="22" t="n">
        <v>0.2427107116861871</v>
      </c>
    </row>
    <row r="13">
      <c r="A13" s="23" t="inlineStr">
        <is>
          <t>Bear case</t>
        </is>
      </c>
      <c r="B13" s="24" t="n">
        <v>1704007.23768</v>
      </c>
      <c r="C13" s="24" t="n">
        <v>2290943.063992001</v>
      </c>
      <c r="D13" s="24" t="n">
        <v>2951151.201524241</v>
      </c>
      <c r="E13" s="24" t="n">
        <v>3432415.859003578</v>
      </c>
      <c r="F13" s="24" t="n">
        <v>3935019.609786246</v>
      </c>
      <c r="G13" s="25" t="n">
        <v>0.2327325582311535</v>
      </c>
    </row>
    <row r="16">
      <c r="A16" s="6" t="inlineStr">
        <is>
          <t>ASSUMPTIONS BY SCENARIO</t>
        </is>
      </c>
      <c r="B16" s="7" t="n"/>
      <c r="C16" s="7" t="n"/>
      <c r="D16" s="7" t="n"/>
      <c r="E16" s="7" t="n"/>
      <c r="F16" s="7" t="n"/>
      <c r="G16" s="7" t="n"/>
    </row>
    <row r="17">
      <c r="A17" s="5" t="inlineStr">
        <is>
          <t>Scenario</t>
        </is>
      </c>
      <c r="B17" s="5" t="inlineStr">
        <is>
          <t>Revenue growth (avg)</t>
        </is>
      </c>
      <c r="C17" s="5" t="inlineStr">
        <is>
          <t>Op margin (avg)</t>
        </is>
      </c>
      <c r="D17" s="5" t="inlineStr">
        <is>
          <t>Notes (left to right)</t>
        </is>
      </c>
      <c r="E17" s="5" t="inlineStr"/>
      <c r="F17" s="5" t="inlineStr"/>
      <c r="G17" s="5" t="inlineStr"/>
    </row>
    <row r="18">
      <c r="A18" s="17" t="inlineStr">
        <is>
          <t>Bull case</t>
        </is>
      </c>
      <c r="B18" s="19" t="n">
        <v>0.1764</v>
      </c>
      <c r="C18" s="19" t="n">
        <v>0.288</v>
      </c>
      <c r="D18" s="26" t="inlineStr">
        <is>
          <t>Ansys synergies &gt; plan, multi-physics cross-sell, China foundry recovery, fast deleveraging</t>
        </is>
      </c>
    </row>
    <row r="19">
      <c r="A19" s="20" t="inlineStr">
        <is>
          <t>Base case</t>
        </is>
      </c>
      <c r="B19" s="22" t="n">
        <v>0.1564</v>
      </c>
      <c r="C19" s="22" t="n">
        <v>0.268</v>
      </c>
      <c r="D19" s="27" t="inlineStr">
        <is>
          <t>FY26 $9.61B guide, OM rebuilds 20% → 32% as amortization tails, $13.5B → $6B debt by FY30</t>
        </is>
      </c>
    </row>
    <row r="20">
      <c r="A20" s="23" t="inlineStr">
        <is>
          <t>Bear case</t>
        </is>
      </c>
      <c r="B20" s="25" t="n">
        <v>0.1364</v>
      </c>
      <c r="C20" s="25" t="n">
        <v>0.248</v>
      </c>
      <c r="D20" s="28" t="inlineStr">
        <is>
          <t>Ansys integration slips, Design IP margin pressure persists, debt overhang, foundry customer concentration</t>
        </is>
      </c>
    </row>
  </sheetData>
  <mergeCells count="5">
    <mergeCell ref="D18:G18"/>
    <mergeCell ref="A1:G1"/>
    <mergeCell ref="D20:G20"/>
    <mergeCell ref="A2:G2"/>
    <mergeCell ref="D19:G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Synopsys – DCF INPUTS (prepared for Task 3 Valuation)</t>
        </is>
      </c>
    </row>
    <row r="3">
      <c r="A3" s="5" t="inlineStr">
        <is>
          <t>Line</t>
        </is>
      </c>
      <c r="B3" s="5" t="inlineStr">
        <is>
          <t>FY2026E</t>
        </is>
      </c>
      <c r="C3" s="5" t="inlineStr">
        <is>
          <t>FY2027E</t>
        </is>
      </c>
      <c r="D3" s="5" t="inlineStr">
        <is>
          <t>FY2028E</t>
        </is>
      </c>
      <c r="E3" s="5" t="inlineStr">
        <is>
          <t>FY2029E</t>
        </is>
      </c>
      <c r="F3" s="5" t="inlineStr">
        <is>
          <t>FY2030E</t>
        </is>
      </c>
      <c r="G3" s="5" t="inlineStr">
        <is>
          <t>Terminal</t>
        </is>
      </c>
    </row>
    <row r="4">
      <c r="A4" s="6" t="inlineStr">
        <is>
          <t>FREE CASH FLOW BUILD ($000s)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8" t="inlineStr">
        <is>
          <t>Revenue</t>
        </is>
      </c>
      <c r="B5" s="11" t="n">
        <v>9610000</v>
      </c>
      <c r="C5" s="11" t="n">
        <v>10763000</v>
      </c>
      <c r="D5" s="11" t="n">
        <v>11947000</v>
      </c>
      <c r="E5" s="11" t="n">
        <v>13142000</v>
      </c>
      <c r="F5" s="11" t="n">
        <v>14325000</v>
      </c>
      <c r="G5" s="11" t="n">
        <v>14898000</v>
      </c>
    </row>
    <row r="6">
      <c r="A6" s="8" t="inlineStr">
        <is>
          <t>Operating income (EBIT)</t>
        </is>
      </c>
      <c r="B6" s="11" t="n">
        <v>1322000</v>
      </c>
      <c r="C6" s="11" t="n">
        <v>1744808</v>
      </c>
      <c r="D6" s="11" t="n">
        <v>2221704</v>
      </c>
      <c r="E6" s="11" t="n">
        <v>2749216</v>
      </c>
      <c r="F6" s="11" t="n">
        <v>3321800</v>
      </c>
      <c r="G6" s="11" t="n">
        <v>3454672</v>
      </c>
    </row>
    <row r="7">
      <c r="A7" s="13" t="inlineStr">
        <is>
          <t>NOPAT (EBIT × (1-tax))</t>
        </is>
      </c>
      <c r="B7" s="14" t="n">
        <v>1136920</v>
      </c>
      <c r="C7" s="14" t="n">
        <v>1500534.88</v>
      </c>
      <c r="D7" s="14" t="n">
        <v>1910665.44</v>
      </c>
      <c r="E7" s="14" t="n">
        <v>2364325.76</v>
      </c>
      <c r="F7" s="14" t="n">
        <v>2856748</v>
      </c>
      <c r="G7" s="14" t="n">
        <v>2971017.92</v>
      </c>
    </row>
    <row r="8">
      <c r="A8" s="8" t="inlineStr">
        <is>
          <t>+ D&amp;A</t>
        </is>
      </c>
      <c r="B8" s="11" t="n">
        <v>720750</v>
      </c>
      <c r="C8" s="11" t="n">
        <v>807225</v>
      </c>
      <c r="D8" s="11" t="n">
        <v>896025</v>
      </c>
      <c r="E8" s="11" t="n">
        <v>985650</v>
      </c>
      <c r="F8" s="11" t="n">
        <v>1074375</v>
      </c>
      <c r="G8" s="11" t="n">
        <v>1117350</v>
      </c>
    </row>
    <row r="9">
      <c r="A9" s="8" t="inlineStr">
        <is>
          <t>- Capex</t>
        </is>
      </c>
      <c r="B9" s="11" t="n">
        <v>-211420</v>
      </c>
      <c r="C9" s="11" t="n">
        <v>-236786</v>
      </c>
      <c r="D9" s="11" t="n">
        <v>-262834</v>
      </c>
      <c r="E9" s="11" t="n">
        <v>-289124</v>
      </c>
      <c r="F9" s="11" t="n">
        <v>-315150</v>
      </c>
      <c r="G9" s="11" t="n">
        <v>-327756</v>
      </c>
    </row>
    <row r="10">
      <c r="A10" s="8" t="inlineStr">
        <is>
          <t>- Δ WC</t>
        </is>
      </c>
      <c r="B10" s="11" t="n">
        <v>-192200</v>
      </c>
      <c r="C10" s="11" t="n">
        <v>-215260</v>
      </c>
      <c r="D10" s="11" t="n">
        <v>-238940</v>
      </c>
      <c r="E10" s="11" t="n">
        <v>-262840</v>
      </c>
      <c r="F10" s="11" t="n">
        <v>-286500</v>
      </c>
      <c r="G10" s="11" t="n">
        <v>-297960</v>
      </c>
    </row>
    <row r="11">
      <c r="A11" s="13" t="inlineStr">
        <is>
          <t>Unlevered FCF</t>
        </is>
      </c>
      <c r="B11" s="14" t="n">
        <v>1454050</v>
      </c>
      <c r="C11" s="14" t="n">
        <v>1855713.88</v>
      </c>
      <c r="D11" s="14" t="n">
        <v>2304916.44</v>
      </c>
      <c r="E11" s="14" t="n">
        <v>2798011.76</v>
      </c>
      <c r="F11" s="14" t="n">
        <v>3329473</v>
      </c>
      <c r="G11" s="14" t="n">
        <v>3462651.92</v>
      </c>
    </row>
    <row r="13">
      <c r="A13" s="6" t="inlineStr">
        <is>
          <t>DCF KEY ASSUMPTIONS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9" t="inlineStr">
        <is>
          <t>Tax rate</t>
        </is>
      </c>
      <c r="B14" s="30" t="n">
        <v>0.14</v>
      </c>
    </row>
    <row r="15">
      <c r="A15" s="29" t="inlineStr">
        <is>
          <t>Terminal growth rate</t>
        </is>
      </c>
      <c r="B15" s="30" t="n">
        <v>0.03</v>
      </c>
    </row>
    <row r="16">
      <c r="A16" s="29" t="inlineStr">
        <is>
          <t>WACC – central case</t>
        </is>
      </c>
      <c r="B16" s="30" t="n">
        <v>0.08500000000000001</v>
      </c>
    </row>
    <row r="17">
      <c r="A17" s="29" t="inlineStr">
        <is>
          <t>Risk-free rate</t>
        </is>
      </c>
      <c r="B17" s="30" t="n">
        <v>0.043</v>
      </c>
    </row>
    <row r="18">
      <c r="A18" s="29" t="inlineStr">
        <is>
          <t>Equity risk premium</t>
        </is>
      </c>
      <c r="B18" s="30" t="n">
        <v>0.055</v>
      </c>
    </row>
    <row r="19">
      <c r="A19" s="29" t="inlineStr">
        <is>
          <t>Beta</t>
        </is>
      </c>
      <c r="B19" s="31" t="n">
        <v>1.05</v>
      </c>
    </row>
    <row r="20">
      <c r="A20" s="29" t="inlineStr">
        <is>
          <t>Cost of debt (after-tax)</t>
        </is>
      </c>
      <c r="B20" s="30" t="n">
        <v>0.034</v>
      </c>
    </row>
    <row r="21">
      <c r="A21" s="29" t="inlineStr">
        <is>
          <t>Debt / Cap weight</t>
        </is>
      </c>
      <c r="B21" s="30" t="n">
        <v>0.3</v>
      </c>
    </row>
    <row r="22">
      <c r="A22" s="29" t="inlineStr">
        <is>
          <t>Equity / Cap weight</t>
        </is>
      </c>
      <c r="B22" s="30" t="n">
        <v>0.7</v>
      </c>
    </row>
    <row r="24">
      <c r="A24" s="6" t="inlineStr">
        <is>
          <t>BACKLOG / RPO BRIDGE (Source: 10-K)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8" t="inlineStr">
        <is>
          <t>Year-end backlog ($M)</t>
        </is>
      </c>
      <c r="B25" s="11" t="n">
        <v>6900</v>
      </c>
      <c r="C25" s="11" t="n">
        <v>7400</v>
      </c>
      <c r="D25" s="11" t="n">
        <v>7900</v>
      </c>
      <c r="E25" s="11" t="n">
        <v>8100</v>
      </c>
      <c r="F25" s="11" t="n">
        <v>11400</v>
      </c>
      <c r="G25" s="12" t="n"/>
      <c r="H25" s="12" t="n"/>
      <c r="I25" s="12" t="n"/>
      <c r="J25" s="12" t="n"/>
      <c r="K25" s="12" t="n"/>
    </row>
    <row r="26">
      <c r="A26" s="8" t="inlineStr">
        <is>
          <t>RPO (12mo) ($M)</t>
        </is>
      </c>
      <c r="B26" s="11" t="n">
        <v>3200</v>
      </c>
      <c r="C26" s="11" t="n">
        <v>3500</v>
      </c>
      <c r="D26" s="11" t="n">
        <v>3800</v>
      </c>
      <c r="E26" s="11" t="n">
        <v>4000</v>
      </c>
      <c r="F26" s="11" t="n">
        <v>5200</v>
      </c>
      <c r="G26" s="12" t="n"/>
      <c r="H26" s="12" t="n"/>
      <c r="I26" s="12" t="n"/>
      <c r="J26" s="12" t="n"/>
      <c r="K26" s="12" t="n"/>
    </row>
    <row r="27">
      <c r="A27" s="8" t="inlineStr">
        <is>
          <t>Backlog / next-year revenue</t>
        </is>
      </c>
      <c r="B27" s="11" t="n"/>
      <c r="C27" s="11" t="n"/>
      <c r="D27" s="11" t="n"/>
      <c r="E27" s="11" t="n"/>
      <c r="F27" s="11" t="n"/>
      <c r="G27" s="12" t="n"/>
      <c r="H27" s="12" t="n"/>
      <c r="I27" s="12" t="n"/>
      <c r="J27" s="12" t="n"/>
      <c r="K27" s="12" t="n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4" t="inlineStr">
        <is>
          <t>Synopsys (SNPS) – DCF Valuation</t>
        </is>
      </c>
    </row>
    <row r="2">
      <c r="A2" s="2" t="inlineStr">
        <is>
          <t>Valuation date: 2026-05-20 | Stock: $502.42 | Market cap: $98.0B | EV: $108.6B</t>
        </is>
      </c>
    </row>
    <row r="4">
      <c r="A4" s="5" t="inlineStr"/>
      <c r="B4" s="5" t="inlineStr">
        <is>
          <t>FY2026E</t>
        </is>
      </c>
      <c r="C4" s="5" t="inlineStr">
        <is>
          <t>FY2027E</t>
        </is>
      </c>
      <c r="D4" s="5" t="inlineStr">
        <is>
          <t>FY2028E</t>
        </is>
      </c>
      <c r="E4" s="5" t="inlineStr">
        <is>
          <t>FY2029E</t>
        </is>
      </c>
      <c r="F4" s="5" t="inlineStr">
        <is>
          <t>FY2030E</t>
        </is>
      </c>
      <c r="G4" s="5" t="inlineStr">
        <is>
          <t>Terminal</t>
        </is>
      </c>
    </row>
    <row r="5">
      <c r="A5" s="6" t="inlineStr">
        <is>
          <t>UNLEVERED FCF BUILD ($M)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8" t="inlineStr">
        <is>
          <t>Revenue</t>
        </is>
      </c>
      <c r="B6" s="11" t="n">
        <v>9610</v>
      </c>
      <c r="C6" s="11" t="n">
        <v>10763</v>
      </c>
      <c r="D6" s="11" t="n">
        <v>11947</v>
      </c>
      <c r="E6" s="11" t="n">
        <v>13142</v>
      </c>
      <c r="F6" s="11" t="n">
        <v>14325</v>
      </c>
      <c r="G6" s="11" t="n">
        <v>14826</v>
      </c>
    </row>
    <row r="7">
      <c r="A7" s="8" t="inlineStr">
        <is>
          <t>EBIT (operating income)</t>
        </is>
      </c>
      <c r="B7" s="11" t="n">
        <v>3652</v>
      </c>
      <c r="C7" s="11" t="n">
        <v>4251</v>
      </c>
      <c r="D7" s="11" t="n">
        <v>4898</v>
      </c>
      <c r="E7" s="11" t="n">
        <v>5520</v>
      </c>
      <c r="F7" s="11" t="n">
        <v>6160</v>
      </c>
      <c r="G7" s="11" t="n">
        <v>6376</v>
      </c>
    </row>
    <row r="8">
      <c r="A8" s="13" t="inlineStr">
        <is>
          <t>NOPAT (× (1-17%))</t>
        </is>
      </c>
      <c r="B8" s="32" t="n">
        <v>3031</v>
      </c>
      <c r="C8" s="32" t="n">
        <v>3528</v>
      </c>
      <c r="D8" s="32" t="n">
        <v>4065</v>
      </c>
      <c r="E8" s="32" t="n">
        <v>4582</v>
      </c>
      <c r="F8" s="32" t="n">
        <v>5113</v>
      </c>
      <c r="G8" s="32" t="n">
        <v>5292</v>
      </c>
    </row>
    <row r="9">
      <c r="A9" s="8" t="inlineStr">
        <is>
          <t>+ D&amp;A</t>
        </is>
      </c>
      <c r="B9" s="11" t="n">
        <v>721</v>
      </c>
      <c r="C9" s="11" t="n">
        <v>807</v>
      </c>
      <c r="D9" s="11" t="n">
        <v>896</v>
      </c>
      <c r="E9" s="11" t="n">
        <v>986</v>
      </c>
      <c r="F9" s="11" t="n">
        <v>1074</v>
      </c>
      <c r="G9" s="11" t="n">
        <v>1112</v>
      </c>
    </row>
    <row r="10">
      <c r="A10" s="8" t="inlineStr">
        <is>
          <t>- Capex</t>
        </is>
      </c>
      <c r="B10" s="11" t="n">
        <v>-211</v>
      </c>
      <c r="C10" s="11" t="n">
        <v>-237</v>
      </c>
      <c r="D10" s="11" t="n">
        <v>-263</v>
      </c>
      <c r="E10" s="11" t="n">
        <v>-289</v>
      </c>
      <c r="F10" s="11" t="n">
        <v>-315</v>
      </c>
      <c r="G10" s="11" t="n">
        <v>-326</v>
      </c>
    </row>
    <row r="11">
      <c r="A11" s="8" t="inlineStr">
        <is>
          <t>- Δ Working capital</t>
        </is>
      </c>
      <c r="B11" s="11" t="n">
        <v>-192</v>
      </c>
      <c r="C11" s="11" t="n">
        <v>-215</v>
      </c>
      <c r="D11" s="11" t="n">
        <v>-239</v>
      </c>
      <c r="E11" s="11" t="n">
        <v>-263</v>
      </c>
      <c r="F11" s="11" t="n">
        <v>-286</v>
      </c>
      <c r="G11" s="11" t="n">
        <v>-296</v>
      </c>
    </row>
    <row r="12">
      <c r="A12" s="13" t="inlineStr">
        <is>
          <t>Unlevered FCF</t>
        </is>
      </c>
      <c r="B12" s="32" t="n">
        <v>3348</v>
      </c>
      <c r="C12" s="32" t="n">
        <v>3884</v>
      </c>
      <c r="D12" s="32" t="n">
        <v>4460</v>
      </c>
      <c r="E12" s="32" t="n">
        <v>5015</v>
      </c>
      <c r="F12" s="32" t="n">
        <v>5586</v>
      </c>
      <c r="G12" s="32" t="n">
        <v>5782</v>
      </c>
    </row>
    <row r="14">
      <c r="A14" s="6" t="inlineStr">
        <is>
          <t>PRESENT VALUE OF FCF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8" t="inlineStr">
        <is>
          <t>Discount factor (WACC=8.5%)</t>
        </is>
      </c>
      <c r="B15" s="33" t="n">
        <v>0.9214254451636682</v>
      </c>
      <c r="C15" s="33" t="n">
        <v>0.8490248509950642</v>
      </c>
      <c r="D15" s="33" t="n">
        <v>0.782313101283144</v>
      </c>
      <c r="E15" s="33" t="n">
        <v>0.7208431976071908</v>
      </c>
      <c r="F15" s="33" t="n">
        <v>0.6642032642484078</v>
      </c>
    </row>
    <row r="16">
      <c r="A16" s="13" t="inlineStr">
        <is>
          <t>PV of UFCF</t>
        </is>
      </c>
      <c r="B16" s="32" t="n">
        <v>3085</v>
      </c>
      <c r="C16" s="32" t="n">
        <v>3298</v>
      </c>
      <c r="D16" s="32" t="n">
        <v>3489</v>
      </c>
      <c r="E16" s="32" t="n">
        <v>3615</v>
      </c>
      <c r="F16" s="32" t="n">
        <v>3710</v>
      </c>
    </row>
    <row r="17">
      <c r="A17" s="34" t="inlineStr">
        <is>
          <t>Sum PV of explicit FCFs</t>
        </is>
      </c>
      <c r="B17" s="35" t="n">
        <v>17197</v>
      </c>
    </row>
    <row r="19">
      <c r="A19" s="6" t="inlineStr">
        <is>
          <t>TERMINAL VALUE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9" t="inlineStr">
        <is>
          <t>Terminal FCF (FY30 × (1+g))</t>
        </is>
      </c>
      <c r="B20" s="11" t="n">
        <v>5782</v>
      </c>
    </row>
    <row r="21">
      <c r="A21" s="29" t="inlineStr">
        <is>
          <t>Terminal growth (g)</t>
        </is>
      </c>
      <c r="B21" s="9" t="n">
        <v>0.035</v>
      </c>
    </row>
    <row r="22">
      <c r="A22" s="29" t="inlineStr">
        <is>
          <t>WACC</t>
        </is>
      </c>
      <c r="B22" s="9" t="n">
        <v>0.08527499999999999</v>
      </c>
    </row>
    <row r="23">
      <c r="A23" s="29" t="inlineStr">
        <is>
          <t>Terminal value (Gordon)</t>
        </is>
      </c>
      <c r="B23" s="11" t="n">
        <v>114998</v>
      </c>
    </row>
    <row r="24">
      <c r="A24" s="29" t="inlineStr">
        <is>
          <t>PV of terminal value</t>
        </is>
      </c>
      <c r="B24" s="11" t="n">
        <v>76382</v>
      </c>
    </row>
    <row r="26">
      <c r="A26" s="6" t="inlineStr">
        <is>
          <t>ENTERPRISE &amp; EQUITY VALUE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36" t="inlineStr">
        <is>
          <t>Enterprise value ($M)</t>
        </is>
      </c>
      <c r="B27" s="32" t="n">
        <v>93579</v>
      </c>
    </row>
    <row r="28">
      <c r="A28" s="29" t="inlineStr">
        <is>
          <t>(+) Cash &amp; short-term investments</t>
        </is>
      </c>
      <c r="B28" s="11" t="n">
        <v>2890</v>
      </c>
    </row>
    <row r="29">
      <c r="A29" s="29" t="inlineStr">
        <is>
          <t>(-) Total debt</t>
        </is>
      </c>
      <c r="B29" s="11" t="n">
        <v>-13480</v>
      </c>
    </row>
    <row r="30">
      <c r="A30" s="36" t="inlineStr">
        <is>
          <t>Equity value ($M)</t>
        </is>
      </c>
      <c r="B30" s="32" t="n">
        <v>82989</v>
      </c>
    </row>
    <row r="31">
      <c r="A31" s="29" t="inlineStr">
        <is>
          <t>Diluted shares (M)</t>
        </is>
      </c>
      <c r="B31" s="37" t="n">
        <v>195</v>
      </c>
    </row>
    <row r="32">
      <c r="A32" s="36" t="inlineStr">
        <is>
          <t>DCF value per share</t>
        </is>
      </c>
      <c r="B32" s="38" t="n">
        <v>425.58</v>
      </c>
    </row>
    <row r="33">
      <c r="A33" s="29" t="inlineStr">
        <is>
          <t>Current stock price</t>
        </is>
      </c>
      <c r="B33" s="15" t="n">
        <v>502.42</v>
      </c>
    </row>
    <row r="34">
      <c r="A34" s="36" t="inlineStr">
        <is>
          <t>Implied upside / (downside)</t>
        </is>
      </c>
      <c r="B34" s="39" t="n">
        <v>-0.1529327746960247</v>
      </c>
    </row>
    <row r="36">
      <c r="A36" s="6" t="inlineStr">
        <is>
          <t>WACC BUILD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9" t="inlineStr">
        <is>
          <t>Risk-free rate (10y UST)</t>
        </is>
      </c>
      <c r="B37" s="9" t="n">
        <v>0.043</v>
      </c>
    </row>
    <row r="38">
      <c r="A38" s="29" t="inlineStr">
        <is>
          <t>Equity risk premium</t>
        </is>
      </c>
      <c r="B38" s="9" t="n">
        <v>0.05</v>
      </c>
    </row>
    <row r="39">
      <c r="A39" s="29" t="inlineStr">
        <is>
          <t>Beta (5y monthly)</t>
        </is>
      </c>
      <c r="B39" s="37" t="n">
        <v>1</v>
      </c>
    </row>
    <row r="40">
      <c r="A40" s="29" t="inlineStr">
        <is>
          <t>Cost of equity (CAPM)</t>
        </is>
      </c>
      <c r="B40" s="9" t="n">
        <v>0.093</v>
      </c>
    </row>
    <row r="41">
      <c r="A41" s="29" t="inlineStr">
        <is>
          <t>Pre-tax cost of debt</t>
        </is>
      </c>
      <c r="B41" s="9" t="n">
        <v>0.05</v>
      </c>
    </row>
    <row r="42">
      <c r="A42" s="29" t="inlineStr">
        <is>
          <t>After-tax cost of debt</t>
        </is>
      </c>
      <c r="B42" s="9" t="n">
        <v>0.0415</v>
      </c>
    </row>
    <row r="43">
      <c r="A43" s="29" t="inlineStr">
        <is>
          <t>Debt / Capital</t>
        </is>
      </c>
      <c r="B43" s="9" t="n">
        <v>0.15</v>
      </c>
    </row>
    <row r="44">
      <c r="A44" s="29" t="inlineStr">
        <is>
          <t>Equity / Capital</t>
        </is>
      </c>
      <c r="B44" s="9" t="n">
        <v>0.85</v>
      </c>
    </row>
    <row r="45">
      <c r="A45" s="36" t="inlineStr">
        <is>
          <t>WACC</t>
        </is>
      </c>
      <c r="B45" s="39" t="n">
        <v>0.08527499999999999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4" t="inlineStr">
        <is>
          <t>Synopsys (SNPS) – DCF Sensitivity Analysis</t>
        </is>
      </c>
    </row>
    <row r="2">
      <c r="A2" s="2" t="inlineStr">
        <is>
          <t>DCF value per share — sensitivity to WACC and terminal growth</t>
        </is>
      </c>
    </row>
    <row r="4">
      <c r="A4" s="40" t="inlineStr">
        <is>
          <t>Terminal growth ↓ / WACC →</t>
        </is>
      </c>
      <c r="B4" s="41" t="inlineStr">
        <is>
          <t>7.0%</t>
        </is>
      </c>
      <c r="C4" s="41" t="inlineStr">
        <is>
          <t>7.5%</t>
        </is>
      </c>
      <c r="D4" s="41" t="inlineStr">
        <is>
          <t>8.0%</t>
        </is>
      </c>
      <c r="E4" s="41" t="inlineStr">
        <is>
          <t>8.5%</t>
        </is>
      </c>
      <c r="F4" s="41" t="inlineStr">
        <is>
          <t>9.0%</t>
        </is>
      </c>
      <c r="G4" s="41" t="inlineStr">
        <is>
          <t>9.5%</t>
        </is>
      </c>
      <c r="H4" s="41" t="inlineStr">
        <is>
          <t>10.0%</t>
        </is>
      </c>
    </row>
    <row r="5">
      <c r="A5" s="41" t="inlineStr">
        <is>
          <t>2.0%</t>
        </is>
      </c>
      <c r="B5" s="42" t="n">
        <v>451.62</v>
      </c>
      <c r="C5" s="42" t="n">
        <v>404.19</v>
      </c>
      <c r="D5" s="42" t="n">
        <v>364.65</v>
      </c>
      <c r="E5" s="42" t="n">
        <v>331.2</v>
      </c>
      <c r="F5" s="42" t="n">
        <v>302.53</v>
      </c>
      <c r="G5" s="42" t="n">
        <v>277.69</v>
      </c>
      <c r="H5" s="42" t="n">
        <v>255.96</v>
      </c>
    </row>
    <row r="6">
      <c r="A6" s="41" t="inlineStr">
        <is>
          <t>2.5%</t>
        </is>
      </c>
      <c r="B6" s="42" t="n">
        <v>499.58</v>
      </c>
      <c r="C6" s="42" t="n">
        <v>442.74</v>
      </c>
      <c r="D6" s="42" t="n">
        <v>396.22</v>
      </c>
      <c r="E6" s="42" t="n">
        <v>357.44</v>
      </c>
      <c r="F6" s="42" t="n">
        <v>324.63</v>
      </c>
      <c r="G6" s="42" t="n">
        <v>296.5</v>
      </c>
      <c r="H6" s="42" t="n">
        <v>272.13</v>
      </c>
    </row>
    <row r="7">
      <c r="A7" s="41" t="inlineStr">
        <is>
          <t>3.0%</t>
        </is>
      </c>
      <c r="B7" s="42" t="n">
        <v>559.4400000000001</v>
      </c>
      <c r="C7" s="42" t="n">
        <v>489.81</v>
      </c>
      <c r="D7" s="42" t="n">
        <v>434.07</v>
      </c>
      <c r="E7" s="42" t="n">
        <v>388.43</v>
      </c>
      <c r="F7" s="42" t="n">
        <v>350.39</v>
      </c>
      <c r="G7" s="42" t="n">
        <v>318.2</v>
      </c>
      <c r="H7" s="42" t="n">
        <v>290.61</v>
      </c>
    </row>
    <row r="8">
      <c r="A8" s="41" t="inlineStr">
        <is>
          <t>3.5%</t>
        </is>
      </c>
      <c r="B8" s="42" t="n">
        <v>636.27</v>
      </c>
      <c r="C8" s="42" t="n">
        <v>548.5700000000001</v>
      </c>
      <c r="D8" s="42" t="n">
        <v>480.27</v>
      </c>
      <c r="E8" s="42" t="n">
        <v>425.58</v>
      </c>
      <c r="F8" s="42" t="n">
        <v>380.81</v>
      </c>
      <c r="G8" s="42" t="n">
        <v>343.49</v>
      </c>
      <c r="H8" s="42" t="n">
        <v>311.91</v>
      </c>
    </row>
    <row r="9">
      <c r="A9" s="41" t="inlineStr">
        <is>
          <t>4.0%</t>
        </is>
      </c>
      <c r="B9" s="42" t="n">
        <v>738.49</v>
      </c>
      <c r="C9" s="42" t="n">
        <v>623.99</v>
      </c>
      <c r="D9" s="42" t="n">
        <v>537.95</v>
      </c>
      <c r="E9" s="42" t="n">
        <v>470.94</v>
      </c>
      <c r="F9" s="42" t="n">
        <v>417.29</v>
      </c>
      <c r="G9" s="42" t="n">
        <v>373.37</v>
      </c>
      <c r="H9" s="42" t="n">
        <v>336.75</v>
      </c>
    </row>
    <row r="12">
      <c r="A12" s="6" t="inlineStr">
        <is>
          <t>IMPLIED UPSIDE / DOWNSIDE vs. current stock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40" t="inlineStr">
        <is>
          <t>Terminal growth ↓ / WACC →</t>
        </is>
      </c>
      <c r="B13" s="41" t="inlineStr">
        <is>
          <t>7.0%</t>
        </is>
      </c>
      <c r="C13" s="41" t="inlineStr">
        <is>
          <t>7.5%</t>
        </is>
      </c>
      <c r="D13" s="41" t="inlineStr">
        <is>
          <t>8.0%</t>
        </is>
      </c>
      <c r="E13" s="41" t="inlineStr">
        <is>
          <t>8.5%</t>
        </is>
      </c>
      <c r="F13" s="41" t="inlineStr">
        <is>
          <t>9.0%</t>
        </is>
      </c>
      <c r="G13" s="41" t="inlineStr">
        <is>
          <t>9.5%</t>
        </is>
      </c>
      <c r="H13" s="41" t="inlineStr">
        <is>
          <t>10.0%</t>
        </is>
      </c>
    </row>
    <row r="14">
      <c r="A14" s="41" t="inlineStr">
        <is>
          <t>2.0%</t>
        </is>
      </c>
      <c r="B14" s="30" t="n">
        <v>-0.1011086219664538</v>
      </c>
      <c r="C14" s="30" t="n">
        <v>-0.1955164788871802</v>
      </c>
      <c r="D14" s="30" t="n">
        <v>-0.2742065684091757</v>
      </c>
      <c r="E14" s="30" t="n">
        <v>-0.3407919902924914</v>
      </c>
      <c r="F14" s="30" t="n">
        <v>-0.3978575373943596</v>
      </c>
      <c r="G14" s="30" t="n">
        <v>-0.4473012134295131</v>
      </c>
      <c r="H14" s="30" t="n">
        <v>-0.4905481202631128</v>
      </c>
    </row>
    <row r="15">
      <c r="A15" s="41" t="inlineStr">
        <is>
          <t>2.5%</t>
        </is>
      </c>
      <c r="B15" s="30" t="n">
        <v>-0.005658312109717345</v>
      </c>
      <c r="C15" s="30" t="n">
        <v>-0.1187784958513476</v>
      </c>
      <c r="D15" s="30" t="n">
        <v>-0.2113767025873498</v>
      </c>
      <c r="E15" s="30" t="n">
        <v>-0.2885612585678274</v>
      </c>
      <c r="F15" s="30" t="n">
        <v>-0.3538752861516999</v>
      </c>
      <c r="G15" s="30" t="n">
        <v>-0.409853518751478</v>
      </c>
      <c r="H15" s="30" t="n">
        <v>-0.4583572034412364</v>
      </c>
    </row>
    <row r="16">
      <c r="A16" s="41" t="inlineStr">
        <is>
          <t>3.0%</t>
        </is>
      </c>
      <c r="B16" s="30" t="n">
        <v>0.1134916401695483</v>
      </c>
      <c r="C16" s="30" t="n">
        <v>-0.02509120678882637</v>
      </c>
      <c r="D16" s="30" t="n">
        <v>-0.1360495984121022</v>
      </c>
      <c r="E16" s="30" t="n">
        <v>-0.2268812764180772</v>
      </c>
      <c r="F16" s="30" t="n">
        <v>-0.3025961039687396</v>
      </c>
      <c r="G16" s="30" t="n">
        <v>-0.366668911828627</v>
      </c>
      <c r="H16" s="30" t="n">
        <v>-0.4215855798499717</v>
      </c>
    </row>
    <row r="17">
      <c r="A17" s="41" t="inlineStr">
        <is>
          <t>3.5%</t>
        </is>
      </c>
      <c r="B17" s="30" t="n">
        <v>0.2664190417129579</v>
      </c>
      <c r="C17" s="30" t="n">
        <v>0.09185797899933634</v>
      </c>
      <c r="D17" s="30" t="n">
        <v>-0.04408481247534191</v>
      </c>
      <c r="E17" s="30" t="n">
        <v>-0.1529327746960247</v>
      </c>
      <c r="F17" s="30" t="n">
        <v>-0.2420398196269444</v>
      </c>
      <c r="G17" s="30" t="n">
        <v>-0.3163197081537477</v>
      </c>
      <c r="H17" s="30" t="n">
        <v>-0.3791806167579388</v>
      </c>
    </row>
    <row r="18">
      <c r="A18" s="41" t="inlineStr">
        <is>
          <t>4.0%</t>
        </is>
      </c>
      <c r="B18" s="30" t="n">
        <v>0.4698592100749994</v>
      </c>
      <c r="C18" s="30" t="n">
        <v>0.2419607256062559</v>
      </c>
      <c r="D18" s="30" t="n">
        <v>0.07071418474304725</v>
      </c>
      <c r="E18" s="30" t="n">
        <v>-0.06265108650858198</v>
      </c>
      <c r="F18" s="30" t="n">
        <v>-0.1694385259680341</v>
      </c>
      <c r="G18" s="30" t="n">
        <v>-0.2568616480926393</v>
      </c>
      <c r="H18" s="30" t="n">
        <v>-0.3297404047082894</v>
      </c>
    </row>
  </sheetData>
  <mergeCells count="1">
    <mergeCell ref="A1:J1"/>
  </mergeCells>
  <conditionalFormatting sqref="B5:H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4:H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" t="inlineStr">
        <is>
          <t>Synopsys (SNPS) – Comparable Companies Analysis</t>
        </is>
      </c>
    </row>
    <row r="2">
      <c r="A2" s="2" t="inlineStr">
        <is>
          <t>Forward multiples as of 2026-05-20. Peers selected for mission-critical software and design-IP exposure.</t>
        </is>
      </c>
    </row>
    <row r="4">
      <c r="A4" s="5" t="inlineStr">
        <is>
          <t>Ticker</t>
        </is>
      </c>
      <c r="B4" s="5" t="inlineStr">
        <is>
          <t>Company</t>
        </is>
      </c>
      <c r="C4" s="5" t="inlineStr">
        <is>
          <t>Fwd P/E</t>
        </is>
      </c>
      <c r="D4" s="5" t="inlineStr">
        <is>
          <t>EV/Rev</t>
        </is>
      </c>
      <c r="E4" s="5" t="inlineStr">
        <is>
          <t>EV/EBITDA</t>
        </is>
      </c>
      <c r="F4" s="5" t="inlineStr">
        <is>
          <t>NTM Rev Growth</t>
        </is>
      </c>
      <c r="G4" s="5" t="inlineStr">
        <is>
          <t>Quality tier</t>
        </is>
      </c>
    </row>
    <row r="5">
      <c r="A5" s="36" t="inlineStr">
        <is>
          <t>SNPS</t>
        </is>
      </c>
      <c r="B5" s="36" t="inlineStr">
        <is>
          <t>Synopsys (self)</t>
        </is>
      </c>
      <c r="C5" s="43" t="n">
        <v>29.6</v>
      </c>
      <c r="D5" s="43" t="n">
        <v>11.3</v>
      </c>
      <c r="E5" s="43" t="n">
        <v>24.8</v>
      </c>
      <c r="F5" s="44" t="n">
        <v>0.12</v>
      </c>
      <c r="G5" s="36" t="inlineStr">
        <is>
          <t>Self</t>
        </is>
      </c>
    </row>
    <row r="6">
      <c r="A6" s="29" t="inlineStr">
        <is>
          <t>CDNS</t>
        </is>
      </c>
      <c r="B6" s="29" t="inlineStr">
        <is>
          <t>Cadence</t>
        </is>
      </c>
      <c r="C6" s="45" t="n">
        <v>42.8</v>
      </c>
      <c r="D6" s="45" t="n">
        <v>15</v>
      </c>
      <c r="E6" s="45" t="n">
        <v>30.3</v>
      </c>
      <c r="F6" s="46" t="n">
        <v>0.1392712550607287</v>
      </c>
      <c r="G6" s="29" t="inlineStr">
        <is>
          <t>Direct peer</t>
        </is>
      </c>
    </row>
    <row r="7">
      <c r="A7" s="29" t="inlineStr">
        <is>
          <t>ANSS</t>
        </is>
      </c>
      <c r="B7" s="29" t="inlineStr">
        <is>
          <t>Ansys (pre-acq)</t>
        </is>
      </c>
      <c r="C7" s="45" t="n">
        <v>38</v>
      </c>
      <c r="D7" s="45" t="n">
        <v>13.5</v>
      </c>
      <c r="E7" s="45" t="n">
        <v>32</v>
      </c>
      <c r="F7" s="46" t="n">
        <v>0.1</v>
      </c>
      <c r="G7" s="29" t="inlineStr">
        <is>
          <t>T1</t>
        </is>
      </c>
    </row>
    <row r="8">
      <c r="A8" s="29" t="inlineStr">
        <is>
          <t>ANET</t>
        </is>
      </c>
      <c r="B8" s="29" t="inlineStr">
        <is>
          <t>Arista Networks</t>
        </is>
      </c>
      <c r="C8" s="45" t="n">
        <v>50</v>
      </c>
      <c r="D8" s="45" t="n">
        <v>18.5</v>
      </c>
      <c r="E8" s="45" t="n">
        <v>38</v>
      </c>
      <c r="F8" s="46" t="n">
        <v>0.22</v>
      </c>
      <c r="G8" s="29" t="inlineStr">
        <is>
          <t>T1</t>
        </is>
      </c>
    </row>
    <row r="9">
      <c r="A9" s="29" t="inlineStr">
        <is>
          <t>ARM</t>
        </is>
      </c>
      <c r="B9" s="29" t="inlineStr">
        <is>
          <t>Arm Holdings</t>
        </is>
      </c>
      <c r="C9" s="45" t="n">
        <v>122</v>
      </c>
      <c r="D9" s="45" t="n">
        <v>43</v>
      </c>
      <c r="E9" s="45" t="n">
        <v>100</v>
      </c>
      <c r="F9" s="46" t="n">
        <v>0.25</v>
      </c>
      <c r="G9" s="29" t="inlineStr">
        <is>
          <t>T1</t>
        </is>
      </c>
    </row>
    <row r="10">
      <c r="A10" s="29" t="inlineStr">
        <is>
          <t>INTU</t>
        </is>
      </c>
      <c r="B10" s="29" t="inlineStr">
        <is>
          <t>Intuit</t>
        </is>
      </c>
      <c r="C10" s="45" t="n">
        <v>26</v>
      </c>
      <c r="D10" s="45" t="n">
        <v>9.5</v>
      </c>
      <c r="E10" s="45" t="n">
        <v>20</v>
      </c>
      <c r="F10" s="46" t="n">
        <v>0.13</v>
      </c>
      <c r="G10" s="29" t="inlineStr">
        <is>
          <t>T1</t>
        </is>
      </c>
    </row>
    <row r="11">
      <c r="A11" s="29" t="inlineStr">
        <is>
          <t>NOW</t>
        </is>
      </c>
      <c r="B11" s="29" t="inlineStr">
        <is>
          <t>ServiceNow</t>
        </is>
      </c>
      <c r="C11" s="45" t="n">
        <v>24</v>
      </c>
      <c r="D11" s="45" t="n">
        <v>10.5</v>
      </c>
      <c r="E11" s="45" t="n">
        <v>17</v>
      </c>
      <c r="F11" s="46" t="n">
        <v>0.22</v>
      </c>
      <c r="G11" s="29" t="inlineStr">
        <is>
          <t>T1</t>
        </is>
      </c>
    </row>
    <row r="12">
      <c r="A12" s="29" t="inlineStr">
        <is>
          <t>ADBE</t>
        </is>
      </c>
      <c r="B12" s="29" t="inlineStr">
        <is>
          <t>Adobe</t>
        </is>
      </c>
      <c r="C12" s="45" t="n">
        <v>11</v>
      </c>
      <c r="D12" s="45" t="n">
        <v>6.5</v>
      </c>
      <c r="E12" s="45" t="n">
        <v>11</v>
      </c>
      <c r="F12" s="46" t="n">
        <v>0.1</v>
      </c>
      <c r="G12" s="29" t="inlineStr">
        <is>
          <t>T2</t>
        </is>
      </c>
    </row>
    <row r="13">
      <c r="A13" s="29" t="inlineStr">
        <is>
          <t>ADSK</t>
        </is>
      </c>
      <c r="B13" s="29" t="inlineStr">
        <is>
          <t>Autodesk</t>
        </is>
      </c>
      <c r="C13" s="45" t="n">
        <v>38</v>
      </c>
      <c r="D13" s="45" t="n">
        <v>9.199999999999999</v>
      </c>
      <c r="E13" s="45" t="n">
        <v>22</v>
      </c>
      <c r="F13" s="46" t="n">
        <v>0.11</v>
      </c>
      <c r="G13" s="29" t="inlineStr">
        <is>
          <t>T2</t>
        </is>
      </c>
    </row>
    <row r="14">
      <c r="A14" s="29" t="inlineStr">
        <is>
          <t>PTC</t>
        </is>
      </c>
      <c r="B14" s="29" t="inlineStr">
        <is>
          <t>PTC</t>
        </is>
      </c>
      <c r="C14" s="45" t="n">
        <v>38</v>
      </c>
      <c r="D14" s="45" t="n">
        <v>11.5</v>
      </c>
      <c r="E14" s="45" t="n">
        <v>28</v>
      </c>
      <c r="F14" s="46" t="n">
        <v>0.1</v>
      </c>
      <c r="G14" s="29" t="inlineStr">
        <is>
          <t>T2</t>
        </is>
      </c>
    </row>
    <row r="15">
      <c r="A15" s="29" t="inlineStr">
        <is>
          <t>CRM</t>
        </is>
      </c>
      <c r="B15" s="29" t="inlineStr">
        <is>
          <t>Salesforce</t>
        </is>
      </c>
      <c r="C15" s="45" t="n">
        <v>18</v>
      </c>
      <c r="D15" s="45" t="n">
        <v>5.8</v>
      </c>
      <c r="E15" s="45" t="n">
        <v>14</v>
      </c>
      <c r="F15" s="46" t="n">
        <v>0.09</v>
      </c>
      <c r="G15" s="29" t="inlineStr">
        <is>
          <t>T2</t>
        </is>
      </c>
    </row>
    <row r="17">
      <c r="A17" s="6" t="inlineStr">
        <is>
          <t>STATISTICAL SUMMARY (peer set ex. self / direct peer)</t>
        </is>
      </c>
      <c r="B17" s="7" t="n"/>
      <c r="C17" s="7" t="n"/>
      <c r="D17" s="7" t="n"/>
      <c r="E17" s="7" t="n"/>
      <c r="F17" s="7" t="n"/>
      <c r="G17" s="7" t="n"/>
    </row>
    <row r="18">
      <c r="A18" s="34" t="inlineStr">
        <is>
          <t>Max</t>
        </is>
      </c>
      <c r="C18" s="45" t="n">
        <v>122</v>
      </c>
      <c r="D18" s="45" t="n">
        <v>43</v>
      </c>
      <c r="E18" s="45" t="n">
        <v>100</v>
      </c>
      <c r="F18" s="46" t="n">
        <v>0.25</v>
      </c>
    </row>
    <row r="19">
      <c r="A19" s="34" t="inlineStr">
        <is>
          <t>75th %ile</t>
        </is>
      </c>
      <c r="C19" s="45" t="n">
        <v>38</v>
      </c>
      <c r="D19" s="45" t="n">
        <v>13.5</v>
      </c>
      <c r="E19" s="45" t="n">
        <v>32</v>
      </c>
      <c r="F19" s="46" t="n">
        <v>0.22</v>
      </c>
    </row>
    <row r="20">
      <c r="A20" s="34" t="inlineStr">
        <is>
          <t>Median</t>
        </is>
      </c>
      <c r="C20" s="45" t="n">
        <v>38</v>
      </c>
      <c r="D20" s="45" t="n">
        <v>10.5</v>
      </c>
      <c r="E20" s="45" t="n">
        <v>22</v>
      </c>
      <c r="F20" s="46" t="n">
        <v>0.11</v>
      </c>
    </row>
    <row r="21">
      <c r="A21" s="34" t="inlineStr">
        <is>
          <t>Mean</t>
        </is>
      </c>
      <c r="C21" s="45" t="n">
        <v>40.55555555555556</v>
      </c>
      <c r="D21" s="45" t="n">
        <v>14.22222222222222</v>
      </c>
      <c r="E21" s="45" t="n">
        <v>31.33333333333333</v>
      </c>
      <c r="F21" s="46" t="n">
        <v>0.1466666666666667</v>
      </c>
    </row>
    <row r="22">
      <c r="A22" s="34" t="inlineStr">
        <is>
          <t>25th %ile</t>
        </is>
      </c>
      <c r="C22" s="45" t="n">
        <v>24</v>
      </c>
      <c r="D22" s="45" t="n">
        <v>9.199999999999999</v>
      </c>
      <c r="E22" s="45" t="n">
        <v>17</v>
      </c>
      <c r="F22" s="46" t="n">
        <v>0.1</v>
      </c>
    </row>
    <row r="23">
      <c r="A23" s="34" t="inlineStr">
        <is>
          <t>Min</t>
        </is>
      </c>
      <c r="C23" s="45" t="n">
        <v>11</v>
      </c>
      <c r="D23" s="45" t="n">
        <v>5.8</v>
      </c>
      <c r="E23" s="45" t="n">
        <v>11</v>
      </c>
      <c r="F23" s="46" t="n">
        <v>0.09</v>
      </c>
    </row>
    <row r="25">
      <c r="A25" s="6" t="inlineStr">
        <is>
          <t>IMPLIED VALUATION FROM PEER MULTIPLES</t>
        </is>
      </c>
      <c r="B25" s="7" t="n"/>
      <c r="C25" s="7" t="n"/>
      <c r="D25" s="7" t="n"/>
      <c r="E25" s="7" t="n"/>
      <c r="F25" s="7" t="n"/>
      <c r="G25" s="7" t="n"/>
    </row>
    <row r="26">
      <c r="A26" s="5" t="inlineStr">
        <is>
          <t>Method</t>
        </is>
      </c>
      <c r="B26" s="5" t="inlineStr">
        <is>
          <t>Multiple (median)</t>
        </is>
      </c>
      <c r="C26" s="5" t="inlineStr">
        <is>
          <t>Metric</t>
        </is>
      </c>
      <c r="D26" s="5" t="inlineStr">
        <is>
          <t>Implied EV ($M)</t>
        </is>
      </c>
      <c r="E26" s="5" t="inlineStr">
        <is>
          <t>Equity ($M)</t>
        </is>
      </c>
      <c r="F26" s="5" t="inlineStr">
        <is>
          <t>Per share</t>
        </is>
      </c>
      <c r="G26" s="5" t="inlineStr">
        <is>
          <t>vs. current</t>
        </is>
      </c>
    </row>
    <row r="27">
      <c r="A27" s="29" t="inlineStr">
        <is>
          <t>P/E (forward)</t>
        </is>
      </c>
      <c r="B27" s="47" t="n">
        <v>38</v>
      </c>
      <c r="C27" s="48" t="n">
        <v>17</v>
      </c>
      <c r="D27" s="49" t="n">
        <v>136560</v>
      </c>
      <c r="E27" s="49" t="n">
        <v>125970</v>
      </c>
      <c r="F27" s="48" t="n">
        <v>646</v>
      </c>
      <c r="G27" s="50" t="n">
        <v>0.2857768400939453</v>
      </c>
    </row>
    <row r="28">
      <c r="A28" s="29" t="inlineStr">
        <is>
          <t>EV/Revenue (forward)</t>
        </is>
      </c>
      <c r="B28" s="47" t="n">
        <v>10.5</v>
      </c>
      <c r="C28" s="49" t="n">
        <v>9610</v>
      </c>
      <c r="D28" s="49" t="n">
        <v>100905</v>
      </c>
      <c r="E28" s="49" t="n">
        <v>90315</v>
      </c>
      <c r="F28" s="48" t="n">
        <v>463.15</v>
      </c>
      <c r="G28" s="50" t="n">
        <v>-0.07815404212840626</v>
      </c>
    </row>
    <row r="29">
      <c r="A29" s="29" t="inlineStr">
        <is>
          <t>EV/EBITDA (forward)</t>
        </is>
      </c>
      <c r="B29" s="47" t="n">
        <v>22</v>
      </c>
      <c r="C29" s="49" t="n">
        <v>4373</v>
      </c>
      <c r="D29" s="49" t="n">
        <v>96206</v>
      </c>
      <c r="E29" s="49" t="n">
        <v>85616</v>
      </c>
      <c r="F29" s="48" t="n">
        <v>439.06</v>
      </c>
      <c r="G29" s="50" t="n">
        <v>-0.1261167742995697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4" t="inlineStr">
        <is>
          <t>Synopsys (SNPS) – Valuation Summary (Football Field)</t>
        </is>
      </c>
    </row>
    <row r="2">
      <c r="A2" s="2" t="inlineStr">
        <is>
          <t>Current price: $502.42 | Diluted shares: 195.0M | Market cap: $98.0B</t>
        </is>
      </c>
    </row>
    <row r="4">
      <c r="A4" s="5" t="inlineStr">
        <is>
          <t>Methodology</t>
        </is>
      </c>
      <c r="B4" s="5" t="inlineStr">
        <is>
          <t>Low ($)</t>
        </is>
      </c>
      <c r="C4" s="5" t="inlineStr">
        <is>
          <t>Mid ($)</t>
        </is>
      </c>
      <c r="D4" s="5" t="inlineStr">
        <is>
          <t>High ($)</t>
        </is>
      </c>
      <c r="E4" s="5" t="inlineStr">
        <is>
          <t>Weight</t>
        </is>
      </c>
      <c r="F4" s="5" t="inlineStr">
        <is>
          <t>Notes</t>
        </is>
      </c>
      <c r="G4" s="5" t="inlineStr"/>
    </row>
    <row r="5">
      <c r="A5" t="inlineStr">
        <is>
          <t>DCF (WACC ±100bps, g 2.5-3.5%)</t>
        </is>
      </c>
      <c r="B5" s="48" t="n">
        <v>361.75</v>
      </c>
      <c r="C5" s="48" t="n">
        <v>425.5835153372233</v>
      </c>
      <c r="D5" s="48" t="n">
        <v>510.7</v>
      </c>
      <c r="E5" s="50" t="n">
        <v>0.3</v>
      </c>
      <c r="F5" t="inlineStr">
        <is>
          <t>Intrinsic value via discounted UFCF</t>
        </is>
      </c>
    </row>
    <row r="6">
      <c r="A6" t="inlineStr">
        <is>
          <t>Comps – Fwd P/E (25th–75th pct)</t>
        </is>
      </c>
      <c r="B6" s="48" t="n">
        <v>549.1</v>
      </c>
      <c r="C6" s="48" t="n">
        <v>646</v>
      </c>
      <c r="D6" s="48" t="n">
        <v>775.2</v>
      </c>
      <c r="E6" s="50" t="n">
        <v>0.3</v>
      </c>
      <c r="F6" t="inlineStr">
        <is>
          <t>38.0x × FY26E EPS $17.00</t>
        </is>
      </c>
    </row>
    <row r="7">
      <c r="A7" t="inlineStr">
        <is>
          <t>Comps – EV/Revenue (25th–75th)</t>
        </is>
      </c>
      <c r="B7" s="48" t="n">
        <v>393.68</v>
      </c>
      <c r="C7" s="48" t="n">
        <v>463.15</v>
      </c>
      <c r="D7" s="48" t="n">
        <v>555.78</v>
      </c>
      <c r="E7" s="50" t="n">
        <v>0.15</v>
      </c>
      <c r="F7" t="inlineStr">
        <is>
          <t>10.5x × FY26E revenue</t>
        </is>
      </c>
    </row>
    <row r="8">
      <c r="A8" t="inlineStr">
        <is>
          <t>Comps – EV/EBITDA (25th–75th)</t>
        </is>
      </c>
      <c r="B8" s="48" t="n">
        <v>373.2</v>
      </c>
      <c r="C8" s="48" t="n">
        <v>439.06</v>
      </c>
      <c r="D8" s="48" t="n">
        <v>526.87</v>
      </c>
      <c r="E8" s="50" t="n">
        <v>0.15</v>
      </c>
      <c r="F8" t="inlineStr">
        <is>
          <t>22.0x × FY26E EBITDA</t>
        </is>
      </c>
    </row>
    <row r="9">
      <c r="A9" t="inlineStr">
        <is>
          <t>Analyst consensus 12mo target</t>
        </is>
      </c>
      <c r="B9" s="48" t="n">
        <v>403.85</v>
      </c>
      <c r="C9" s="48" t="n">
        <v>550</v>
      </c>
      <c r="D9" s="48" t="n">
        <v>650</v>
      </c>
      <c r="E9" s="50" t="n">
        <v>0.1</v>
      </c>
      <c r="F9" t="inlineStr">
        <is>
          <t>18 analysts | Buys: 17 / Sells: 1</t>
        </is>
      </c>
    </row>
    <row r="11">
      <c r="A11" s="36" t="inlineStr">
        <is>
          <t>Weighted blended target</t>
        </is>
      </c>
      <c r="B11" s="51" t="n">
        <v>511.81</v>
      </c>
    </row>
    <row r="13">
      <c r="A13" s="6" t="inlineStr">
        <is>
          <t>FINAL PRICE TARGET &amp; RECOMMENDATION</t>
        </is>
      </c>
      <c r="B13" s="7" t="n"/>
      <c r="C13" s="7" t="n"/>
      <c r="D13" s="7" t="n"/>
      <c r="E13" s="7" t="n"/>
      <c r="F13" s="7" t="n"/>
      <c r="G13" s="7" t="n"/>
    </row>
    <row r="14">
      <c r="A14" s="36" t="inlineStr">
        <is>
          <t>12-month price target</t>
        </is>
      </c>
      <c r="B14" s="38" t="n">
        <v>580</v>
      </c>
    </row>
    <row r="15">
      <c r="A15" s="29" t="inlineStr">
        <is>
          <t>Current stock price</t>
        </is>
      </c>
      <c r="B15" s="15" t="n">
        <v>502.42</v>
      </c>
    </row>
    <row r="16">
      <c r="A16" s="36" t="inlineStr">
        <is>
          <t>Implied upside</t>
        </is>
      </c>
      <c r="B16" s="39" t="n">
        <v>0.1544126428088053</v>
      </c>
    </row>
    <row r="17">
      <c r="A17" s="36" t="inlineStr">
        <is>
          <t>Recommendation</t>
        </is>
      </c>
      <c r="B17" s="52" t="inlineStr">
        <is>
          <t>BUY</t>
        </is>
      </c>
    </row>
    <row r="18">
      <c r="A18" s="29" t="inlineStr">
        <is>
          <t>Notes</t>
        </is>
      </c>
      <c r="B18" s="53" t="inlineStr">
        <is>
          <t>12mo PT $580 ($575-$590). 15% upside. Anchored to ~34x FY27E non-GAAP EPS of $19.50 + DCF rebuild.</t>
        </is>
      </c>
    </row>
  </sheetData>
  <mergeCells count="3">
    <mergeCell ref="B18:G18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2026-05-20T19:32:38Z</dcterms:created>
  <dcterms:modified xmlns:dcterms="http://purl.org/dc/terms/" xmlns:xsi="http://www.w3.org/2001/XMLSchema-instance" xsi:type="dcterms:W3CDTF">2026-05-20T19:42:42Z</dcterms:modified>
</cp:coreProperties>
</file>