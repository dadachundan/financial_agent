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Model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DCF Inputs" sheetId="6" state="visible" r:id="rId6"/>
    <sheet xmlns:r="http://schemas.openxmlformats.org/officeDocument/2006/relationships" name="DCF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Comparables" sheetId="9" state="visible" r:id="rId9"/>
    <sheet xmlns:r="http://schemas.openxmlformats.org/officeDocument/2006/relationships" name="Football Field" sheetId="10" state="visible" r:id="rId10"/>
    <sheet xmlns:r="http://schemas.openxmlformats.org/officeDocument/2006/relationships" name="Valuation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$#,##0.00"/>
    <numFmt numFmtId="166" formatCode="$0.00"/>
    <numFmt numFmtId="167" formatCode="0.00x"/>
    <numFmt numFmtId="168" formatCode="0.0x"/>
    <numFmt numFmtId="169" formatCode="$#,##0"/>
    <numFmt numFmtId="170" formatCode="0.0"/>
    <numFmt numFmtId="171" formatCode="0.00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2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2E75B6"/>
        <bgColor rgb="002E75B6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FFE4E4"/>
        <bgColor rgb="00FFE4E4"/>
      </patternFill>
    </fill>
    <fill>
      <patternFill patternType="solid">
        <fgColor rgb="00FFEB9C"/>
        <bgColor rgb="00FFEB9C"/>
      </patternFill>
    </fill>
    <fill>
      <patternFill patternType="solid">
        <fgColor rgb="0000B050"/>
        <bgColor rgb="0000B050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1F4E79"/>
      </top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3" fontId="5" fillId="6" borderId="2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6" fontId="6" fillId="3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167" fontId="6" fillId="3" borderId="1" applyAlignment="1" pivotButton="0" quotePrefix="0" xfId="0">
      <alignment horizontal="right" vertical="center"/>
    </xf>
    <xf numFmtId="167" fontId="6" fillId="4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3" fontId="6" fillId="9" borderId="1" applyAlignment="1" pivotButton="0" quotePrefix="0" xfId="0">
      <alignment horizontal="right" vertical="center"/>
    </xf>
    <xf numFmtId="3" fontId="6" fillId="10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4" fontId="6" fillId="10" borderId="1" applyAlignment="1" pivotButton="0" quotePrefix="0" xfId="0">
      <alignment horizontal="right" vertical="center"/>
    </xf>
    <xf numFmtId="165" fontId="6" fillId="9" borderId="1" applyAlignment="1" pivotButton="0" quotePrefix="0" xfId="0">
      <alignment horizontal="right" vertical="center"/>
    </xf>
    <xf numFmtId="165" fontId="6" fillId="10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168" fontId="6" fillId="4" borderId="1" applyAlignment="1" pivotButton="0" quotePrefix="0" xfId="0">
      <alignment horizontal="right" vertical="center"/>
    </xf>
    <xf numFmtId="168" fontId="6" fillId="10" borderId="1" applyAlignment="1" pivotButton="0" quotePrefix="0" xfId="0">
      <alignment horizontal="right" vertical="center"/>
    </xf>
    <xf numFmtId="169" fontId="6" fillId="3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9" fontId="6" fillId="4" borderId="1" applyAlignment="1" pivotButton="0" quotePrefix="0" xfId="0">
      <alignment horizontal="right" vertical="center"/>
    </xf>
    <xf numFmtId="169" fontId="6" fillId="10" borderId="1" applyAlignment="1" pivotButton="0" quotePrefix="0" xfId="0">
      <alignment horizontal="right" vertical="center"/>
    </xf>
    <xf numFmtId="0" fontId="0" fillId="0" borderId="1" pivotButton="0" quotePrefix="0" xfId="0"/>
    <xf numFmtId="9" fontId="5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169" fontId="5" fillId="6" borderId="1" applyAlignment="1" pivotButton="0" quotePrefix="0" xfId="0">
      <alignment horizontal="right" vertical="center"/>
    </xf>
    <xf numFmtId="10" fontId="6" fillId="4" borderId="1" applyAlignment="1" pivotButton="0" quotePrefix="0" xfId="0">
      <alignment horizontal="right" vertical="center"/>
    </xf>
    <xf numFmtId="2" fontId="6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 wrapText="1"/>
    </xf>
    <xf numFmtId="170" fontId="0" fillId="0" borderId="1" applyAlignment="1" pivotButton="0" quotePrefix="0" xfId="0">
      <alignment horizontal="right" vertical="center"/>
    </xf>
    <xf numFmtId="171" fontId="0" fillId="0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8" fontId="0" fillId="4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165" fontId="5" fillId="7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169" fontId="6" fillId="0" borderId="1" applyAlignment="1" pivotButton="0" quotePrefix="0" xfId="0">
      <alignment horizontal="right" vertical="center"/>
    </xf>
    <xf numFmtId="169" fontId="5" fillId="11" borderId="1" applyAlignment="1" pivotButton="0" quotePrefix="0" xfId="0">
      <alignment horizontal="right" vertical="center"/>
    </xf>
    <xf numFmtId="168" fontId="5" fillId="6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0" fillId="6" borderId="1" pivotButton="0" quotePrefix="0" xfId="0"/>
    <xf numFmtId="168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3" fontId="5" fillId="11" borderId="1" applyAlignment="1" pivotButton="0" quotePrefix="0" xfId="0">
      <alignment horizontal="right" vertical="center"/>
    </xf>
    <xf numFmtId="168" fontId="5" fillId="11" borderId="1" applyAlignment="1" pivotButton="0" quotePrefix="0" xfId="0">
      <alignment horizontal="right" vertical="center"/>
    </xf>
    <xf numFmtId="164" fontId="5" fillId="11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9" fontId="5" fillId="8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9" fontId="6" fillId="0" borderId="1" applyAlignment="1" pivotButton="0" quotePrefix="0" xfId="0">
      <alignment horizontal="center" vertical="center" wrapText="1"/>
    </xf>
    <xf numFmtId="169" fontId="5" fillId="0" borderId="1" applyAlignment="1" pivotButton="0" quotePrefix="0" xfId="0">
      <alignment horizontal="right" vertical="center"/>
    </xf>
    <xf numFmtId="164" fontId="6" fillId="8" borderId="1" applyAlignment="1" pivotButton="0" quotePrefix="0" xfId="0">
      <alignment horizontal="right" vertical="center"/>
    </xf>
    <xf numFmtId="9" fontId="5" fillId="6" borderId="1" applyAlignment="1" pivotButton="0" quotePrefix="0" xfId="0">
      <alignment horizontal="center" vertical="center" wrapText="1"/>
    </xf>
    <xf numFmtId="169" fontId="5" fillId="7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0" fontId="7" fillId="12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4" customHeight="1">
      <c r="A1" s="1" t="inlineStr">
        <is>
          <t>Micron Technology (NASDAQ: MU) — Revenue Model</t>
        </is>
      </c>
    </row>
    <row r="2">
      <c r="A2" s="2" t="inlineStr">
        <is>
          <t>All figures in $millions. FY ends Thursday closest to Aug 31. Historical from 10-K filings. Projections by analyst.</t>
        </is>
      </c>
    </row>
    <row r="4">
      <c r="A4" s="3" t="inlineStr">
        <is>
          <t>($ in millions)</t>
        </is>
      </c>
      <c r="B4" s="4" t="inlineStr">
        <is>
          <t>FY2021A</t>
        </is>
      </c>
      <c r="C4" s="4" t="inlineStr">
        <is>
          <t>FY2022A</t>
        </is>
      </c>
      <c r="D4" s="4" t="inlineStr">
        <is>
          <t>FY2023A</t>
        </is>
      </c>
      <c r="E4" s="4" t="inlineStr">
        <is>
          <t>FY2024A</t>
        </is>
      </c>
      <c r="F4" s="4" t="inlineStr">
        <is>
          <t>FY2025A</t>
        </is>
      </c>
      <c r="G4" s="5" t="inlineStr">
        <is>
          <t>FY2026E</t>
        </is>
      </c>
      <c r="H4" s="5" t="inlineStr">
        <is>
          <t>FY2027E</t>
        </is>
      </c>
      <c r="I4" s="5" t="inlineStr">
        <is>
          <t>FY2028E</t>
        </is>
      </c>
      <c r="J4" s="5" t="inlineStr">
        <is>
          <t>FY2029E</t>
        </is>
      </c>
      <c r="K4" s="5" t="inlineStr">
        <is>
          <t>FY2030E</t>
        </is>
      </c>
    </row>
    <row r="5">
      <c r="A5" s="6" t="inlineStr">
        <is>
          <t>REVENUE BY PRODUCT (Technology)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</row>
    <row r="6">
      <c r="A6" s="8" t="inlineStr">
        <is>
          <t>DRAM</t>
        </is>
      </c>
      <c r="B6" s="9" t="n">
        <v>22772</v>
      </c>
      <c r="C6" s="9" t="n">
        <v>22375</v>
      </c>
      <c r="D6" s="9" t="n">
        <v>11489</v>
      </c>
      <c r="E6" s="9" t="n">
        <v>18673</v>
      </c>
      <c r="F6" s="9" t="n">
        <v>28584</v>
      </c>
      <c r="G6" s="10" t="n">
        <v>44200</v>
      </c>
      <c r="H6" s="10" t="n">
        <v>50800</v>
      </c>
      <c r="I6" s="10" t="n">
        <v>47500</v>
      </c>
      <c r="J6" s="10" t="n">
        <v>52000</v>
      </c>
      <c r="K6" s="10" t="n">
        <v>56500</v>
      </c>
    </row>
    <row r="7">
      <c r="A7" s="11" t="inlineStr">
        <is>
          <t xml:space="preserve">  HBM (HBM3E/HBM4)</t>
        </is>
      </c>
      <c r="B7" s="12" t="n">
        <v>0</v>
      </c>
      <c r="C7" s="12" t="n">
        <v>0</v>
      </c>
      <c r="D7" s="12" t="n">
        <v>50</v>
      </c>
      <c r="E7" s="12" t="n">
        <v>950</v>
      </c>
      <c r="F7" s="12" t="n">
        <v>7100</v>
      </c>
      <c r="G7" s="13" t="n">
        <v>21500</v>
      </c>
      <c r="H7" s="13" t="n">
        <v>28000</v>
      </c>
      <c r="I7" s="13" t="n">
        <v>22000</v>
      </c>
      <c r="J7" s="13" t="n">
        <v>24000</v>
      </c>
      <c r="K7" s="13" t="n">
        <v>26000</v>
      </c>
    </row>
    <row r="8">
      <c r="A8" s="11" t="inlineStr">
        <is>
          <t xml:space="preserve">  DDR5/DDR4 (server + client)</t>
        </is>
      </c>
      <c r="B8" s="12" t="n">
        <v>12000</v>
      </c>
      <c r="C8" s="12" t="n">
        <v>11500</v>
      </c>
      <c r="D8" s="12" t="n">
        <v>6200</v>
      </c>
      <c r="E8" s="12" t="n">
        <v>9200</v>
      </c>
      <c r="F8" s="12" t="n">
        <v>13800</v>
      </c>
      <c r="G8" s="13" t="n">
        <v>14500</v>
      </c>
      <c r="H8" s="13" t="n">
        <v>14000</v>
      </c>
      <c r="I8" s="13" t="n">
        <v>14500</v>
      </c>
      <c r="J8" s="13" t="n">
        <v>15500</v>
      </c>
      <c r="K8" s="13" t="n">
        <v>17000</v>
      </c>
    </row>
    <row r="9">
      <c r="A9" s="11" t="inlineStr">
        <is>
          <t xml:space="preserve">  LPDDR (mobile + server)</t>
        </is>
      </c>
      <c r="B9" s="12" t="n">
        <v>7000</v>
      </c>
      <c r="C9" s="12" t="n">
        <v>7500</v>
      </c>
      <c r="D9" s="12" t="n">
        <v>3700</v>
      </c>
      <c r="E9" s="12" t="n">
        <v>6300</v>
      </c>
      <c r="F9" s="12" t="n">
        <v>5500</v>
      </c>
      <c r="G9" s="13" t="n">
        <v>5500</v>
      </c>
      <c r="H9" s="13" t="n">
        <v>5800</v>
      </c>
      <c r="I9" s="13" t="n">
        <v>7000</v>
      </c>
      <c r="J9" s="13" t="n">
        <v>8500</v>
      </c>
      <c r="K9" s="13" t="n">
        <v>9500</v>
      </c>
    </row>
    <row r="10">
      <c r="A10" s="11" t="inlineStr">
        <is>
          <t xml:space="preserve">  GDDR + Graphics</t>
        </is>
      </c>
      <c r="B10" s="12" t="n">
        <v>1700</v>
      </c>
      <c r="C10" s="12" t="n">
        <v>1500</v>
      </c>
      <c r="D10" s="12" t="n">
        <v>800</v>
      </c>
      <c r="E10" s="12" t="n">
        <v>1300</v>
      </c>
      <c r="F10" s="12" t="n">
        <v>1184</v>
      </c>
      <c r="G10" s="13" t="n">
        <v>1500</v>
      </c>
      <c r="H10" s="13" t="n">
        <v>1700</v>
      </c>
      <c r="I10" s="13" t="n">
        <v>2000</v>
      </c>
      <c r="J10" s="13" t="n">
        <v>2200</v>
      </c>
      <c r="K10" s="13" t="n">
        <v>2500</v>
      </c>
    </row>
    <row r="11">
      <c r="A11" s="11" t="inlineStr">
        <is>
          <t xml:space="preserve">  Other DRAM (legacy)</t>
        </is>
      </c>
      <c r="B11" s="12" t="n">
        <v>2072</v>
      </c>
      <c r="C11" s="12" t="n">
        <v>1875</v>
      </c>
      <c r="D11" s="12" t="n">
        <v>739</v>
      </c>
      <c r="E11" s="12" t="n">
        <v>920</v>
      </c>
      <c r="F11" s="12" t="n">
        <v>1000</v>
      </c>
      <c r="G11" s="13" t="n">
        <v>1200</v>
      </c>
      <c r="H11" s="13" t="n">
        <v>1300</v>
      </c>
      <c r="I11" s="13" t="n">
        <v>2000</v>
      </c>
      <c r="J11" s="13" t="n">
        <v>1800</v>
      </c>
      <c r="K11" s="13" t="n">
        <v>1500</v>
      </c>
    </row>
    <row r="12">
      <c r="A12" s="8" t="inlineStr">
        <is>
          <t>NAND</t>
        </is>
      </c>
      <c r="B12" s="9" t="n">
        <v>5773</v>
      </c>
      <c r="C12" s="9" t="n">
        <v>7610</v>
      </c>
      <c r="D12" s="9" t="n">
        <v>3700</v>
      </c>
      <c r="E12" s="9" t="n">
        <v>6080</v>
      </c>
      <c r="F12" s="9" t="n">
        <v>8497</v>
      </c>
      <c r="G12" s="10" t="n">
        <v>10200</v>
      </c>
      <c r="H12" s="10" t="n">
        <v>11500</v>
      </c>
      <c r="I12" s="10" t="n">
        <v>11000</v>
      </c>
      <c r="J12" s="10" t="n">
        <v>12500</v>
      </c>
      <c r="K12" s="10" t="n">
        <v>14000</v>
      </c>
    </row>
    <row r="13">
      <c r="A13" s="11" t="inlineStr">
        <is>
          <t xml:space="preserve">  Data-center SSDs</t>
        </is>
      </c>
      <c r="B13" s="12" t="n">
        <v>800</v>
      </c>
      <c r="C13" s="12" t="n">
        <v>1200</v>
      </c>
      <c r="D13" s="12" t="n">
        <v>750</v>
      </c>
      <c r="E13" s="12" t="n">
        <v>1900</v>
      </c>
      <c r="F13" s="12" t="n">
        <v>3400</v>
      </c>
      <c r="G13" s="13" t="n">
        <v>4500</v>
      </c>
      <c r="H13" s="13" t="n">
        <v>5500</v>
      </c>
      <c r="I13" s="13" t="n">
        <v>5300</v>
      </c>
      <c r="J13" s="13" t="n">
        <v>6200</v>
      </c>
      <c r="K13" s="13" t="n">
        <v>7100</v>
      </c>
    </row>
    <row r="14">
      <c r="A14" s="11" t="inlineStr">
        <is>
          <t xml:space="preserve">  Client SSDs</t>
        </is>
      </c>
      <c r="B14" s="12" t="n">
        <v>1500</v>
      </c>
      <c r="C14" s="12" t="n">
        <v>1900</v>
      </c>
      <c r="D14" s="12" t="n">
        <v>900</v>
      </c>
      <c r="E14" s="12" t="n">
        <v>1400</v>
      </c>
      <c r="F14" s="12" t="n">
        <v>1700</v>
      </c>
      <c r="G14" s="13" t="n">
        <v>2000</v>
      </c>
      <c r="H14" s="13" t="n">
        <v>2200</v>
      </c>
      <c r="I14" s="13" t="n">
        <v>2100</v>
      </c>
      <c r="J14" s="13" t="n">
        <v>2400</v>
      </c>
      <c r="K14" s="13" t="n">
        <v>2700</v>
      </c>
    </row>
    <row r="15">
      <c r="A15" s="11" t="inlineStr">
        <is>
          <t xml:space="preserve">  Managed NAND (mobile)</t>
        </is>
      </c>
      <c r="B15" s="12" t="n">
        <v>2300</v>
      </c>
      <c r="C15" s="12" t="n">
        <v>3000</v>
      </c>
      <c r="D15" s="12" t="n">
        <v>1300</v>
      </c>
      <c r="E15" s="12" t="n">
        <v>1700</v>
      </c>
      <c r="F15" s="12" t="n">
        <v>2100</v>
      </c>
      <c r="G15" s="13" t="n">
        <v>2400</v>
      </c>
      <c r="H15" s="13" t="n">
        <v>2600</v>
      </c>
      <c r="I15" s="13" t="n">
        <v>2500</v>
      </c>
      <c r="J15" s="13" t="n">
        <v>2700</v>
      </c>
      <c r="K15" s="13" t="n">
        <v>2900</v>
      </c>
    </row>
    <row r="16">
      <c r="A16" s="11" t="inlineStr">
        <is>
          <t xml:space="preserve">  Low-density / Auto / Embedded NAND</t>
        </is>
      </c>
      <c r="B16" s="12" t="n">
        <v>1173</v>
      </c>
      <c r="C16" s="12" t="n">
        <v>1510</v>
      </c>
      <c r="D16" s="12" t="n">
        <v>750</v>
      </c>
      <c r="E16" s="12" t="n">
        <v>1080</v>
      </c>
      <c r="F16" s="12" t="n">
        <v>1297</v>
      </c>
      <c r="G16" s="13" t="n">
        <v>1300</v>
      </c>
      <c r="H16" s="13" t="n">
        <v>1200</v>
      </c>
      <c r="I16" s="13" t="n">
        <v>1100</v>
      </c>
      <c r="J16" s="13" t="n">
        <v>1200</v>
      </c>
      <c r="K16" s="13" t="n">
        <v>1300</v>
      </c>
    </row>
    <row r="17">
      <c r="A17" s="8" t="inlineStr">
        <is>
          <t>NOR &amp; Other</t>
        </is>
      </c>
      <c r="B17" s="9" t="n">
        <v>288</v>
      </c>
      <c r="C17" s="9" t="n">
        <v>379</v>
      </c>
      <c r="D17" s="9" t="n">
        <v>351</v>
      </c>
      <c r="E17" s="9" t="n">
        <v>358</v>
      </c>
      <c r="F17" s="9" t="n">
        <v>297</v>
      </c>
      <c r="G17" s="10" t="n">
        <v>310</v>
      </c>
      <c r="H17" s="10" t="n">
        <v>325</v>
      </c>
      <c r="I17" s="10" t="n">
        <v>340</v>
      </c>
      <c r="J17" s="10" t="n">
        <v>360</v>
      </c>
      <c r="K17" s="10" t="n">
        <v>380</v>
      </c>
    </row>
    <row r="18">
      <c r="A18" s="14" t="inlineStr">
        <is>
          <t>TOTAL REVENUE</t>
        </is>
      </c>
      <c r="B18" s="15" t="n">
        <v>27705</v>
      </c>
      <c r="C18" s="15" t="n">
        <v>30758</v>
      </c>
      <c r="D18" s="15" t="n">
        <v>15540</v>
      </c>
      <c r="E18" s="15" t="n">
        <v>25111</v>
      </c>
      <c r="F18" s="15" t="n">
        <v>37378</v>
      </c>
      <c r="G18" s="15" t="n">
        <v>54710</v>
      </c>
      <c r="H18" s="15" t="n">
        <v>62625</v>
      </c>
      <c r="I18" s="15" t="n">
        <v>58840</v>
      </c>
      <c r="J18" s="15" t="n">
        <v>64860</v>
      </c>
      <c r="K18" s="15" t="n">
        <v>70880</v>
      </c>
    </row>
    <row r="19">
      <c r="A19" s="11" t="inlineStr">
        <is>
          <t>YoY Growth %</t>
        </is>
      </c>
      <c r="B19" s="16" t="inlineStr">
        <is>
          <t>n/a</t>
        </is>
      </c>
      <c r="C19" s="17" t="n">
        <v>0.1101967153943331</v>
      </c>
      <c r="D19" s="17" t="n">
        <v>-0.4947655894401457</v>
      </c>
      <c r="E19" s="17" t="n">
        <v>0.6158944658944658</v>
      </c>
      <c r="F19" s="17" t="n">
        <v>0.4885110111106685</v>
      </c>
      <c r="G19" s="18" t="n">
        <v>0.4636952217882178</v>
      </c>
      <c r="H19" s="18" t="n">
        <v>0.1446719064156461</v>
      </c>
      <c r="I19" s="18" t="n">
        <v>-0.06043912175648702</v>
      </c>
      <c r="J19" s="18" t="n">
        <v>0.1023113528212101</v>
      </c>
      <c r="K19" s="18" t="n">
        <v>0.09281529448041947</v>
      </c>
    </row>
    <row r="21">
      <c r="A21" s="6" t="inlineStr">
        <is>
          <t>REVENUE BY BUSINESS UNIT (Reorg Q3-FY25)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</row>
    <row r="22">
      <c r="A22" s="8" t="inlineStr">
        <is>
          <t>CMBU (Cloud Memory — HBM + hyperscale DDR5)</t>
        </is>
      </c>
      <c r="B22" s="9" t="n">
        <v>1100</v>
      </c>
      <c r="C22" s="9" t="n">
        <v>2000</v>
      </c>
      <c r="D22" s="9" t="n">
        <v>1870</v>
      </c>
      <c r="E22" s="9" t="n">
        <v>3790</v>
      </c>
      <c r="F22" s="9" t="n">
        <v>13518</v>
      </c>
      <c r="G22" s="10" t="n">
        <v>28500</v>
      </c>
      <c r="H22" s="10" t="n">
        <v>35000</v>
      </c>
      <c r="I22" s="10" t="n">
        <v>30000</v>
      </c>
      <c r="J22" s="10" t="n">
        <v>33500</v>
      </c>
      <c r="K22" s="10" t="n">
        <v>37000</v>
      </c>
    </row>
    <row r="23">
      <c r="A23" s="8" t="inlineStr">
        <is>
          <t>CDBU (Core Data Center — mid-tier + OEM + DC SSD)</t>
        </is>
      </c>
      <c r="B23" s="9" t="n">
        <v>5500</v>
      </c>
      <c r="C23" s="9" t="n">
        <v>5800</v>
      </c>
      <c r="D23" s="9" t="n">
        <v>3500</v>
      </c>
      <c r="E23" s="9" t="n">
        <v>5050</v>
      </c>
      <c r="F23" s="9" t="n">
        <v>7232</v>
      </c>
      <c r="G23" s="10" t="n">
        <v>9500</v>
      </c>
      <c r="H23" s="10" t="n">
        <v>10500</v>
      </c>
      <c r="I23" s="10" t="n">
        <v>10000</v>
      </c>
      <c r="J23" s="10" t="n">
        <v>11000</v>
      </c>
      <c r="K23" s="10" t="n">
        <v>12000</v>
      </c>
    </row>
    <row r="24">
      <c r="A24" s="8" t="inlineStr">
        <is>
          <t>MCBU (Mobile + Client — phones, PCs)</t>
        </is>
      </c>
      <c r="B24" s="9" t="n">
        <v>13800</v>
      </c>
      <c r="C24" s="9" t="n">
        <v>14500</v>
      </c>
      <c r="D24" s="9" t="n">
        <v>7000</v>
      </c>
      <c r="E24" s="9" t="n">
        <v>10800</v>
      </c>
      <c r="F24" s="9" t="n">
        <v>11862</v>
      </c>
      <c r="G24" s="10" t="n">
        <v>12200</v>
      </c>
      <c r="H24" s="10" t="n">
        <v>12500</v>
      </c>
      <c r="I24" s="10" t="n">
        <v>13500</v>
      </c>
      <c r="J24" s="10" t="n">
        <v>14800</v>
      </c>
      <c r="K24" s="10" t="n">
        <v>16200</v>
      </c>
    </row>
    <row r="25">
      <c r="A25" s="8" t="inlineStr">
        <is>
          <t>AEBU (Automotive + Embedded)</t>
        </is>
      </c>
      <c r="B25" s="9" t="n">
        <v>3700</v>
      </c>
      <c r="C25" s="9" t="n">
        <v>4200</v>
      </c>
      <c r="D25" s="9" t="n">
        <v>3170</v>
      </c>
      <c r="E25" s="9" t="n">
        <v>4625</v>
      </c>
      <c r="F25" s="9" t="n">
        <v>4750</v>
      </c>
      <c r="G25" s="10" t="n">
        <v>4500</v>
      </c>
      <c r="H25" s="10" t="n">
        <v>4625</v>
      </c>
      <c r="I25" s="10" t="n">
        <v>5340</v>
      </c>
      <c r="J25" s="10" t="n">
        <v>5560</v>
      </c>
      <c r="K25" s="10" t="n">
        <v>5680</v>
      </c>
    </row>
    <row r="26">
      <c r="A26" s="11" t="inlineStr">
        <is>
          <t>Other / Unallocated</t>
        </is>
      </c>
      <c r="B26" s="12" t="n">
        <v>3605</v>
      </c>
      <c r="C26" s="12" t="n">
        <v>4258</v>
      </c>
      <c r="D26" s="12" t="n">
        <v>0</v>
      </c>
      <c r="E26" s="12" t="n">
        <v>846</v>
      </c>
      <c r="F26" s="12" t="n">
        <v>16</v>
      </c>
      <c r="G26" s="13" t="n">
        <v>10</v>
      </c>
      <c r="H26" s="13" t="n">
        <v>0</v>
      </c>
      <c r="I26" s="13" t="n">
        <v>0</v>
      </c>
      <c r="J26" s="13" t="n">
        <v>0</v>
      </c>
      <c r="K26" s="13" t="n">
        <v>0</v>
      </c>
    </row>
    <row r="27">
      <c r="A27" s="14" t="inlineStr">
        <is>
          <t>TOTAL (cross-check)</t>
        </is>
      </c>
      <c r="B27" s="15" t="n">
        <v>27705</v>
      </c>
      <c r="C27" s="15" t="n">
        <v>30758</v>
      </c>
      <c r="D27" s="15" t="n">
        <v>15540</v>
      </c>
      <c r="E27" s="15" t="n">
        <v>25111</v>
      </c>
      <c r="F27" s="15" t="n">
        <v>37378</v>
      </c>
      <c r="G27" s="15" t="n">
        <v>54710</v>
      </c>
      <c r="H27" s="15" t="n">
        <v>62625</v>
      </c>
      <c r="I27" s="15" t="n">
        <v>58840</v>
      </c>
      <c r="J27" s="15" t="n">
        <v>64860</v>
      </c>
      <c r="K27" s="15" t="n">
        <v>70880</v>
      </c>
    </row>
    <row r="29">
      <c r="A29" s="6" t="inlineStr">
        <is>
          <t>REVENUE BY GEOGRAPHY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</row>
    <row r="30">
      <c r="A30" s="19" t="inlineStr">
        <is>
          <t>China (Mainland)</t>
        </is>
      </c>
      <c r="B30" s="9" t="n">
        <v>4865</v>
      </c>
      <c r="C30" s="9" t="n">
        <v>3318</v>
      </c>
      <c r="D30" s="9" t="n">
        <v>2895</v>
      </c>
      <c r="E30" s="9" t="n">
        <v>3052</v>
      </c>
      <c r="F30" s="9" t="n">
        <v>2638</v>
      </c>
      <c r="G30" s="10" t="n">
        <v>3400</v>
      </c>
      <c r="H30" s="10" t="n">
        <v>3700</v>
      </c>
      <c r="I30" s="10" t="n">
        <v>3500</v>
      </c>
      <c r="J30" s="10" t="n">
        <v>3800</v>
      </c>
      <c r="K30" s="10" t="n">
        <v>4100</v>
      </c>
    </row>
    <row r="31">
      <c r="A31" s="19" t="inlineStr">
        <is>
          <t>Hong Kong</t>
        </is>
      </c>
      <c r="B31" s="9" t="n">
        <v>6500</v>
      </c>
      <c r="C31" s="9" t="n">
        <v>6800</v>
      </c>
      <c r="D31" s="9" t="n">
        <v>2900</v>
      </c>
      <c r="E31" s="9" t="n">
        <v>5300</v>
      </c>
      <c r="F31" s="9" t="n">
        <v>1140</v>
      </c>
      <c r="G31" s="10" t="n">
        <v>1300</v>
      </c>
      <c r="H31" s="10" t="n">
        <v>1600</v>
      </c>
      <c r="I31" s="10" t="n">
        <v>1500</v>
      </c>
      <c r="J31" s="10" t="n">
        <v>1800</v>
      </c>
      <c r="K31" s="10" t="n">
        <v>2200</v>
      </c>
    </row>
    <row r="32">
      <c r="A32" s="19" t="inlineStr">
        <is>
          <t>Taiwan</t>
        </is>
      </c>
      <c r="B32" s="9" t="n">
        <v>5400</v>
      </c>
      <c r="C32" s="9" t="n">
        <v>6700</v>
      </c>
      <c r="D32" s="9" t="n">
        <v>1800</v>
      </c>
      <c r="E32" s="9" t="n">
        <v>4500</v>
      </c>
      <c r="F32" s="9" t="n">
        <v>8700</v>
      </c>
      <c r="G32" s="10" t="n">
        <v>13800</v>
      </c>
      <c r="H32" s="10" t="n">
        <v>16400</v>
      </c>
      <c r="I32" s="10" t="n">
        <v>15000</v>
      </c>
      <c r="J32" s="10" t="n">
        <v>16800</v>
      </c>
      <c r="K32" s="10" t="n">
        <v>18500</v>
      </c>
    </row>
    <row r="33">
      <c r="A33" s="19" t="inlineStr">
        <is>
          <t>United States</t>
        </is>
      </c>
      <c r="B33" s="9" t="n">
        <v>3300</v>
      </c>
      <c r="C33" s="9" t="n">
        <v>5700</v>
      </c>
      <c r="D33" s="9" t="n">
        <v>4200</v>
      </c>
      <c r="E33" s="9" t="n">
        <v>6800</v>
      </c>
      <c r="F33" s="9" t="n">
        <v>14500</v>
      </c>
      <c r="G33" s="10" t="n">
        <v>22500</v>
      </c>
      <c r="H33" s="10" t="n">
        <v>26500</v>
      </c>
      <c r="I33" s="10" t="n">
        <v>25000</v>
      </c>
      <c r="J33" s="10" t="n">
        <v>27500</v>
      </c>
      <c r="K33" s="10" t="n">
        <v>30000</v>
      </c>
    </row>
    <row r="34">
      <c r="A34" s="19" t="inlineStr">
        <is>
          <t>Japan / Korea / Other Asia</t>
        </is>
      </c>
      <c r="B34" s="9" t="n">
        <v>4900</v>
      </c>
      <c r="C34" s="9" t="n">
        <v>5200</v>
      </c>
      <c r="D34" s="9" t="n">
        <v>2200</v>
      </c>
      <c r="E34" s="9" t="n">
        <v>3400</v>
      </c>
      <c r="F34" s="9" t="n">
        <v>6900</v>
      </c>
      <c r="G34" s="10" t="n">
        <v>9200</v>
      </c>
      <c r="H34" s="10" t="n">
        <v>9700</v>
      </c>
      <c r="I34" s="10" t="n">
        <v>8800</v>
      </c>
      <c r="J34" s="10" t="n">
        <v>9800</v>
      </c>
      <c r="K34" s="10" t="n">
        <v>10700</v>
      </c>
    </row>
    <row r="35">
      <c r="A35" s="19" t="inlineStr">
        <is>
          <t>EMEA + Other</t>
        </is>
      </c>
      <c r="B35" s="9" t="n">
        <v>2740</v>
      </c>
      <c r="C35" s="9" t="n">
        <v>3040</v>
      </c>
      <c r="D35" s="9" t="n">
        <v>1545</v>
      </c>
      <c r="E35" s="9" t="n">
        <v>2059</v>
      </c>
      <c r="F35" s="9" t="n">
        <v>3500</v>
      </c>
      <c r="G35" s="10" t="n">
        <v>4510</v>
      </c>
      <c r="H35" s="10" t="n">
        <v>4725</v>
      </c>
      <c r="I35" s="10" t="n">
        <v>5040</v>
      </c>
      <c r="J35" s="10" t="n">
        <v>5160</v>
      </c>
      <c r="K35" s="10" t="n">
        <v>5380</v>
      </c>
    </row>
    <row r="36">
      <c r="A36" s="14" t="inlineStr">
        <is>
          <t>TOTAL (geography check)</t>
        </is>
      </c>
      <c r="B36" s="15" t="n">
        <v>27705</v>
      </c>
      <c r="C36" s="15" t="n">
        <v>30758</v>
      </c>
      <c r="D36" s="15" t="n">
        <v>15540</v>
      </c>
      <c r="E36" s="15" t="n">
        <v>25111</v>
      </c>
      <c r="F36" s="15" t="n">
        <v>37378</v>
      </c>
      <c r="G36" s="15" t="n">
        <v>54710</v>
      </c>
      <c r="H36" s="15" t="n">
        <v>62625</v>
      </c>
      <c r="I36" s="15" t="n">
        <v>58840</v>
      </c>
      <c r="J36" s="15" t="n">
        <v>64860</v>
      </c>
      <c r="K36" s="15" t="n">
        <v>70880</v>
      </c>
    </row>
    <row r="39">
      <c r="A39" s="2" t="inlineStr">
        <is>
          <t>Sources: Micron 10-K FY2025 Note 21 (Revenue by Technology), Note 27 (Segment), Note 29 (Geographic); Q1-FY2026 earnings release (2025-12-17).</t>
        </is>
      </c>
    </row>
  </sheetData>
  <mergeCells count="3">
    <mergeCell ref="A39:K39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4" customHeight="1">
      <c r="A1" s="1" t="inlineStr">
        <is>
          <t>Micron Technology — Income Statement (Consolidated, GAAP)</t>
        </is>
      </c>
    </row>
    <row r="2">
      <c r="A2" s="2" t="inlineStr">
        <is>
          <t>All figures in $millions except per-share data. FY ends Thursday closest to Aug 31.</t>
        </is>
      </c>
    </row>
    <row r="4">
      <c r="A4" s="3" t="inlineStr">
        <is>
          <t>($ in millions, except EPS)</t>
        </is>
      </c>
      <c r="B4" s="4" t="inlineStr">
        <is>
          <t>FY2021A</t>
        </is>
      </c>
      <c r="C4" s="4" t="inlineStr">
        <is>
          <t>FY2022A</t>
        </is>
      </c>
      <c r="D4" s="4" t="inlineStr">
        <is>
          <t>FY2023A</t>
        </is>
      </c>
      <c r="E4" s="4" t="inlineStr">
        <is>
          <t>FY2024A</t>
        </is>
      </c>
      <c r="F4" s="4" t="inlineStr">
        <is>
          <t>FY2025A</t>
        </is>
      </c>
      <c r="G4" s="5" t="inlineStr">
        <is>
          <t>FY2026E</t>
        </is>
      </c>
      <c r="H4" s="5" t="inlineStr">
        <is>
          <t>FY2027E</t>
        </is>
      </c>
      <c r="I4" s="5" t="inlineStr">
        <is>
          <t>FY2028E</t>
        </is>
      </c>
      <c r="J4" s="5" t="inlineStr">
        <is>
          <t>FY2029E</t>
        </is>
      </c>
      <c r="K4" s="5" t="inlineStr">
        <is>
          <t>FY2030E</t>
        </is>
      </c>
    </row>
    <row r="5">
      <c r="A5" s="6" t="inlineStr">
        <is>
          <t>REVENUE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</row>
    <row r="6">
      <c r="A6" s="8" t="inlineStr">
        <is>
          <t>Total revenue</t>
        </is>
      </c>
      <c r="B6" s="15" t="n">
        <v>27705</v>
      </c>
      <c r="C6" s="15" t="n">
        <v>30758</v>
      </c>
      <c r="D6" s="15" t="n">
        <v>15540</v>
      </c>
      <c r="E6" s="15" t="n">
        <v>25111</v>
      </c>
      <c r="F6" s="15" t="n">
        <v>37378</v>
      </c>
      <c r="G6" s="15" t="n">
        <v>54710</v>
      </c>
      <c r="H6" s="15" t="n">
        <v>62625</v>
      </c>
      <c r="I6" s="15" t="n">
        <v>58840</v>
      </c>
      <c r="J6" s="15" t="n">
        <v>64860</v>
      </c>
      <c r="K6" s="15" t="n">
        <v>70880</v>
      </c>
    </row>
    <row r="7">
      <c r="A7" s="6" t="inlineStr">
        <is>
          <t>COST OF GOODS SOLD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</row>
    <row r="8">
      <c r="A8" s="19" t="inlineStr">
        <is>
          <t xml:space="preserve">  Cost of goods sold</t>
        </is>
      </c>
      <c r="B8" s="20" t="n">
        <v>17282</v>
      </c>
      <c r="C8" s="20" t="n">
        <v>16860</v>
      </c>
      <c r="D8" s="20" t="n">
        <v>16956</v>
      </c>
      <c r="E8" s="20" t="n">
        <v>19500</v>
      </c>
      <c r="F8" s="20" t="n">
        <v>22427</v>
      </c>
      <c r="G8" s="21" t="n">
        <v>21330</v>
      </c>
      <c r="H8" s="21" t="n">
        <v>23800</v>
      </c>
      <c r="I8" s="21" t="n">
        <v>26500</v>
      </c>
      <c r="J8" s="21" t="n">
        <v>28100</v>
      </c>
      <c r="K8" s="21" t="n">
        <v>30100</v>
      </c>
    </row>
    <row r="9">
      <c r="A9" s="8" t="inlineStr">
        <is>
          <t>Gross profit</t>
        </is>
      </c>
      <c r="B9" s="15" t="n">
        <v>10423</v>
      </c>
      <c r="C9" s="15" t="n">
        <v>13898</v>
      </c>
      <c r="D9" s="15" t="n">
        <v>-1416</v>
      </c>
      <c r="E9" s="15" t="n">
        <v>5611</v>
      </c>
      <c r="F9" s="15" t="n">
        <v>14951</v>
      </c>
      <c r="G9" s="15" t="n">
        <v>33380</v>
      </c>
      <c r="H9" s="15" t="n">
        <v>38825</v>
      </c>
      <c r="I9" s="15" t="n">
        <v>32340</v>
      </c>
      <c r="J9" s="15" t="n">
        <v>36760</v>
      </c>
      <c r="K9" s="15" t="n">
        <v>40780</v>
      </c>
    </row>
    <row r="10">
      <c r="A10" s="11" t="inlineStr">
        <is>
          <t xml:space="preserve">  Gross margin %</t>
        </is>
      </c>
      <c r="B10" s="17" t="n">
        <v>0.3762136798411839</v>
      </c>
      <c r="C10" s="17" t="n">
        <v>0.4518499252227063</v>
      </c>
      <c r="D10" s="17" t="n">
        <v>-0.09111969111969112</v>
      </c>
      <c r="E10" s="17" t="n">
        <v>0.2234478913623512</v>
      </c>
      <c r="F10" s="17" t="n">
        <v>0.3999946492589224</v>
      </c>
      <c r="G10" s="18" t="n">
        <v>0.6101261195393896</v>
      </c>
      <c r="H10" s="18" t="n">
        <v>0.6199600798403193</v>
      </c>
      <c r="I10" s="18" t="n">
        <v>0.5496261046906866</v>
      </c>
      <c r="J10" s="18" t="n">
        <v>0.566759173604687</v>
      </c>
      <c r="K10" s="18" t="n">
        <v>0.5753386004514672</v>
      </c>
    </row>
    <row r="11">
      <c r="A11" s="6" t="inlineStr">
        <is>
          <t>OPERATING EXPENSES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</row>
    <row r="12">
      <c r="A12" s="19" t="inlineStr">
        <is>
          <t xml:space="preserve">  Research &amp; development</t>
        </is>
      </c>
      <c r="B12" s="20" t="n">
        <v>2663</v>
      </c>
      <c r="C12" s="20" t="n">
        <v>3056</v>
      </c>
      <c r="D12" s="20" t="n">
        <v>2904</v>
      </c>
      <c r="E12" s="20" t="n">
        <v>3429</v>
      </c>
      <c r="F12" s="20" t="n">
        <v>4099</v>
      </c>
      <c r="G12" s="21" t="n">
        <v>5050</v>
      </c>
      <c r="H12" s="21" t="n">
        <v>5500</v>
      </c>
      <c r="I12" s="21" t="n">
        <v>5650</v>
      </c>
      <c r="J12" s="21" t="n">
        <v>6100</v>
      </c>
      <c r="K12" s="21" t="n">
        <v>6500</v>
      </c>
    </row>
    <row r="13">
      <c r="A13" s="19" t="inlineStr">
        <is>
          <t xml:space="preserve">  Selling, general &amp; administrative</t>
        </is>
      </c>
      <c r="B13" s="20" t="n">
        <v>894</v>
      </c>
      <c r="C13" s="20" t="n">
        <v>1066</v>
      </c>
      <c r="D13" s="20" t="n">
        <v>920</v>
      </c>
      <c r="E13" s="20" t="n">
        <v>1158</v>
      </c>
      <c r="F13" s="20" t="n">
        <v>1247</v>
      </c>
      <c r="G13" s="21" t="n">
        <v>1550</v>
      </c>
      <c r="H13" s="21" t="n">
        <v>1700</v>
      </c>
      <c r="I13" s="21" t="n">
        <v>1750</v>
      </c>
      <c r="J13" s="21" t="n">
        <v>1850</v>
      </c>
      <c r="K13" s="21" t="n">
        <v>1950</v>
      </c>
    </row>
    <row r="14">
      <c r="A14" s="19" t="inlineStr">
        <is>
          <t xml:space="preserve">  Restructuring &amp; other (incl. impairments)</t>
        </is>
      </c>
      <c r="B14" s="20" t="n">
        <v>45</v>
      </c>
      <c r="C14" s="20" t="n">
        <v>25</v>
      </c>
      <c r="D14" s="20" t="n">
        <v>1131</v>
      </c>
      <c r="E14" s="20" t="n">
        <v>35</v>
      </c>
      <c r="F14" s="20" t="n">
        <v>158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</row>
    <row r="15">
      <c r="A15" s="8" t="inlineStr">
        <is>
          <t>Total operating expenses</t>
        </is>
      </c>
      <c r="B15" s="15" t="n">
        <v>3602</v>
      </c>
      <c r="C15" s="15" t="n">
        <v>4147</v>
      </c>
      <c r="D15" s="15" t="n">
        <v>4955</v>
      </c>
      <c r="E15" s="15" t="n">
        <v>4622</v>
      </c>
      <c r="F15" s="15" t="n">
        <v>5504</v>
      </c>
      <c r="G15" s="15" t="n">
        <v>6600</v>
      </c>
      <c r="H15" s="15" t="n">
        <v>7200</v>
      </c>
      <c r="I15" s="15" t="n">
        <v>7400</v>
      </c>
      <c r="J15" s="15" t="n">
        <v>7950</v>
      </c>
      <c r="K15" s="15" t="n">
        <v>8450</v>
      </c>
    </row>
    <row r="16">
      <c r="A16" s="8" t="inlineStr">
        <is>
          <t>OPERATING INCOME (LOSS)</t>
        </is>
      </c>
      <c r="B16" s="15" t="n">
        <v>6821</v>
      </c>
      <c r="C16" s="15" t="n">
        <v>9751</v>
      </c>
      <c r="D16" s="15" t="n">
        <v>-6371</v>
      </c>
      <c r="E16" s="15" t="n">
        <v>989</v>
      </c>
      <c r="F16" s="15" t="n">
        <v>9447</v>
      </c>
      <c r="G16" s="15" t="n">
        <v>26780</v>
      </c>
      <c r="H16" s="15" t="n">
        <v>31625</v>
      </c>
      <c r="I16" s="15" t="n">
        <v>24940</v>
      </c>
      <c r="J16" s="15" t="n">
        <v>28810</v>
      </c>
      <c r="K16" s="15" t="n">
        <v>32330</v>
      </c>
    </row>
    <row r="17">
      <c r="A17" s="11" t="inlineStr">
        <is>
          <t xml:space="preserve">  Operating margin %</t>
        </is>
      </c>
      <c r="B17" s="17" t="n">
        <v>0.2462010467424653</v>
      </c>
      <c r="C17" s="17" t="n">
        <v>0.3170232134729176</v>
      </c>
      <c r="D17" s="17" t="n">
        <v>-0.40997425997426</v>
      </c>
      <c r="E17" s="17" t="n">
        <v>0.03938513002269921</v>
      </c>
      <c r="F17" s="17" t="n">
        <v>0.2527422548022901</v>
      </c>
      <c r="G17" s="18" t="n">
        <v>0.4894900383842076</v>
      </c>
      <c r="H17" s="18" t="n">
        <v>0.5049900199600799</v>
      </c>
      <c r="I17" s="18" t="n">
        <v>0.4238613188307274</v>
      </c>
      <c r="J17" s="18" t="n">
        <v>0.4441874807277212</v>
      </c>
      <c r="K17" s="18" t="n">
        <v>0.4561230248306998</v>
      </c>
    </row>
    <row r="18">
      <c r="A18" s="6" t="inlineStr">
        <is>
          <t>NON-OPERATING INCOME / (EXPENSE)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</row>
    <row r="19">
      <c r="A19" s="19" t="inlineStr">
        <is>
          <t xml:space="preserve">  Interest income</t>
        </is>
      </c>
      <c r="B19" s="20" t="n">
        <v>80</v>
      </c>
      <c r="C19" s="20" t="n">
        <v>220</v>
      </c>
      <c r="D19" s="20" t="n">
        <v>580</v>
      </c>
      <c r="E19" s="20" t="n">
        <v>740</v>
      </c>
      <c r="F19" s="20" t="n">
        <v>700</v>
      </c>
      <c r="G19" s="21" t="n">
        <v>550</v>
      </c>
      <c r="H19" s="21" t="n">
        <v>600</v>
      </c>
      <c r="I19" s="21" t="n">
        <v>650</v>
      </c>
      <c r="J19" s="21" t="n">
        <v>720</v>
      </c>
      <c r="K19" s="21" t="n">
        <v>800</v>
      </c>
    </row>
    <row r="20">
      <c r="A20" s="19" t="inlineStr">
        <is>
          <t xml:space="preserve">  Interest expense</t>
        </is>
      </c>
      <c r="B20" s="20" t="n">
        <v>220</v>
      </c>
      <c r="C20" s="20" t="n">
        <v>190</v>
      </c>
      <c r="D20" s="20" t="n">
        <v>354</v>
      </c>
      <c r="E20" s="20" t="n">
        <v>570</v>
      </c>
      <c r="F20" s="20" t="n">
        <v>663</v>
      </c>
      <c r="G20" s="21" t="n">
        <v>700</v>
      </c>
      <c r="H20" s="21" t="n">
        <v>720</v>
      </c>
      <c r="I20" s="21" t="n">
        <v>750</v>
      </c>
      <c r="J20" s="21" t="n">
        <v>770</v>
      </c>
      <c r="K20" s="21" t="n">
        <v>800</v>
      </c>
    </row>
    <row r="21">
      <c r="A21" s="19" t="inlineStr">
        <is>
          <t xml:space="preserve">  Other non-operating, net</t>
        </is>
      </c>
      <c r="B21" s="20" t="n">
        <v>60</v>
      </c>
      <c r="C21" s="20" t="n">
        <v>50</v>
      </c>
      <c r="D21" s="20" t="n">
        <v>192</v>
      </c>
      <c r="E21" s="20" t="n">
        <v>197</v>
      </c>
      <c r="F21" s="20" t="n">
        <v>70</v>
      </c>
      <c r="G21" s="21" t="n">
        <v>50</v>
      </c>
      <c r="H21" s="21" t="n">
        <v>50</v>
      </c>
      <c r="I21" s="21" t="n">
        <v>50</v>
      </c>
      <c r="J21" s="21" t="n">
        <v>50</v>
      </c>
      <c r="K21" s="21" t="n">
        <v>50</v>
      </c>
    </row>
    <row r="22">
      <c r="A22" s="11" t="inlineStr">
        <is>
          <t>Total non-operating</t>
        </is>
      </c>
      <c r="B22" s="12" t="n">
        <v>360</v>
      </c>
      <c r="C22" s="12" t="n">
        <v>460</v>
      </c>
      <c r="D22" s="12" t="n">
        <v>1126</v>
      </c>
      <c r="E22" s="12" t="n">
        <v>1507</v>
      </c>
      <c r="F22" s="12" t="n">
        <v>1433</v>
      </c>
      <c r="G22" s="13" t="n">
        <v>1300</v>
      </c>
      <c r="H22" s="13" t="n">
        <v>1370</v>
      </c>
      <c r="I22" s="13" t="n">
        <v>1450</v>
      </c>
      <c r="J22" s="13" t="n">
        <v>1540</v>
      </c>
      <c r="K22" s="13" t="n">
        <v>1650</v>
      </c>
    </row>
    <row r="23">
      <c r="A23" s="8" t="inlineStr">
        <is>
          <t>Income before taxes</t>
        </is>
      </c>
      <c r="B23" s="22" t="n">
        <v>7181</v>
      </c>
      <c r="C23" s="22" t="n">
        <v>10211</v>
      </c>
      <c r="D23" s="22" t="n">
        <v>-5245</v>
      </c>
      <c r="E23" s="22" t="n">
        <v>2496</v>
      </c>
      <c r="F23" s="22" t="n">
        <v>10880</v>
      </c>
      <c r="G23" s="23" t="n">
        <v>28080</v>
      </c>
      <c r="H23" s="23" t="n">
        <v>32995</v>
      </c>
      <c r="I23" s="23" t="n">
        <v>26390</v>
      </c>
      <c r="J23" s="23" t="n">
        <v>30350</v>
      </c>
      <c r="K23" s="23" t="n">
        <v>33980</v>
      </c>
    </row>
    <row r="24">
      <c r="A24" s="19" t="inlineStr">
        <is>
          <t xml:space="preserve">  Provision (benefit) for taxes</t>
        </is>
      </c>
      <c r="B24" s="20" t="n">
        <v>394</v>
      </c>
      <c r="C24" s="20" t="n">
        <v>888</v>
      </c>
      <c r="D24" s="20" t="n">
        <v>113</v>
      </c>
      <c r="E24" s="20" t="n">
        <v>421</v>
      </c>
      <c r="F24" s="20" t="n">
        <v>1083</v>
      </c>
      <c r="G24" s="21" t="n">
        <v>2950</v>
      </c>
      <c r="H24" s="21" t="n">
        <v>3550</v>
      </c>
      <c r="I24" s="21" t="n">
        <v>3300</v>
      </c>
      <c r="J24" s="21" t="n">
        <v>3800</v>
      </c>
      <c r="K24" s="21" t="n">
        <v>4250</v>
      </c>
    </row>
    <row r="25">
      <c r="A25" s="11" t="inlineStr">
        <is>
          <t xml:space="preserve">  Effective tax rate %</t>
        </is>
      </c>
      <c r="B25" s="17" t="n">
        <v>0.05486701016571508</v>
      </c>
      <c r="C25" s="17" t="n">
        <v>0.08696503770443639</v>
      </c>
      <c r="D25" s="17" t="n">
        <v>-0.0215443279313632</v>
      </c>
      <c r="E25" s="17" t="n">
        <v>0.1686698717948718</v>
      </c>
      <c r="F25" s="17" t="n">
        <v>0.09954044117647058</v>
      </c>
      <c r="G25" s="18" t="n">
        <v>0.1050569800569801</v>
      </c>
      <c r="H25" s="18" t="n">
        <v>0.1075920594029398</v>
      </c>
      <c r="I25" s="18" t="n">
        <v>0.1250473664266768</v>
      </c>
      <c r="J25" s="18" t="n">
        <v>0.1252059308072488</v>
      </c>
      <c r="K25" s="18" t="n">
        <v>0.1250735726898175</v>
      </c>
    </row>
    <row r="26">
      <c r="A26" s="19" t="inlineStr">
        <is>
          <t xml:space="preserve">  Equity in net loss of partnerships</t>
        </is>
      </c>
      <c r="B26" s="20" t="n">
        <v>10</v>
      </c>
      <c r="C26" s="20" t="n">
        <v>0</v>
      </c>
      <c r="D26" s="20" t="n">
        <v>1</v>
      </c>
      <c r="E26" s="20" t="n">
        <v>17</v>
      </c>
      <c r="F26" s="20" t="n">
        <v>8</v>
      </c>
      <c r="G26" s="21" t="n">
        <v>10</v>
      </c>
      <c r="H26" s="21" t="n">
        <v>10</v>
      </c>
      <c r="I26" s="21" t="n">
        <v>10</v>
      </c>
      <c r="J26" s="21" t="n">
        <v>10</v>
      </c>
      <c r="K26" s="21" t="n">
        <v>10</v>
      </c>
    </row>
    <row r="27">
      <c r="A27" s="8" t="inlineStr">
        <is>
          <t>NET INCOME (LOSS)</t>
        </is>
      </c>
      <c r="B27" s="15" t="n">
        <v>6797</v>
      </c>
      <c r="C27" s="15" t="n">
        <v>9323</v>
      </c>
      <c r="D27" s="15" t="n">
        <v>-5357</v>
      </c>
      <c r="E27" s="15" t="n">
        <v>2092</v>
      </c>
      <c r="F27" s="15" t="n">
        <v>9805</v>
      </c>
      <c r="G27" s="15" t="n">
        <v>25140</v>
      </c>
      <c r="H27" s="15" t="n">
        <v>29455</v>
      </c>
      <c r="I27" s="15" t="n">
        <v>23100</v>
      </c>
      <c r="J27" s="15" t="n">
        <v>26560</v>
      </c>
      <c r="K27" s="15" t="n">
        <v>29740</v>
      </c>
    </row>
    <row r="28">
      <c r="A28" s="11" t="inlineStr">
        <is>
          <t xml:space="preserve">  Net margin %</t>
        </is>
      </c>
      <c r="B28" s="17" t="n">
        <v>0.245334777116044</v>
      </c>
      <c r="C28" s="17" t="n">
        <v>0.3031081344690812</v>
      </c>
      <c r="D28" s="17" t="n">
        <v>-0.3447232947232947</v>
      </c>
      <c r="E28" s="17" t="n">
        <v>0.0833101031420493</v>
      </c>
      <c r="F28" s="17" t="n">
        <v>0.2623200813312644</v>
      </c>
      <c r="G28" s="18" t="n">
        <v>0.4595138000365564</v>
      </c>
      <c r="H28" s="18" t="n">
        <v>0.4703393213572855</v>
      </c>
      <c r="I28" s="18" t="n">
        <v>0.3925900747790619</v>
      </c>
      <c r="J28" s="18" t="n">
        <v>0.4094973789700894</v>
      </c>
      <c r="K28" s="18" t="n">
        <v>0.4195823927765237</v>
      </c>
    </row>
    <row r="30">
      <c r="A30" s="6" t="inlineStr">
        <is>
          <t>PER-SHARE DATA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</row>
    <row r="31">
      <c r="A31" s="19" t="inlineStr">
        <is>
          <t>Diluted EPS ($)</t>
        </is>
      </c>
      <c r="B31" s="24" t="n">
        <v>5.79</v>
      </c>
      <c r="C31" s="24" t="n">
        <v>5.95</v>
      </c>
      <c r="D31" s="24" t="n">
        <v>5.34</v>
      </c>
      <c r="E31" s="24" t="n">
        <v>1.3</v>
      </c>
      <c r="F31" s="24" t="n">
        <v>7.55</v>
      </c>
      <c r="G31" s="25" t="n">
        <v>22.5</v>
      </c>
      <c r="H31" s="25" t="n">
        <v>27.5</v>
      </c>
      <c r="I31" s="25" t="n">
        <v>25.5</v>
      </c>
      <c r="J31" s="25" t="n">
        <v>29.5</v>
      </c>
      <c r="K31" s="25" t="n">
        <v>33</v>
      </c>
    </row>
    <row r="32">
      <c r="A32" s="19" t="inlineStr">
        <is>
          <t>Diluted shares outstanding (millions)</t>
        </is>
      </c>
      <c r="B32" s="20" t="n">
        <v>1140</v>
      </c>
      <c r="C32" s="20" t="n">
        <v>1115</v>
      </c>
      <c r="D32" s="20" t="n">
        <v>1093</v>
      </c>
      <c r="E32" s="20" t="n">
        <v>1117</v>
      </c>
      <c r="F32" s="20" t="n">
        <v>1131</v>
      </c>
      <c r="G32" s="21" t="n">
        <v>1131</v>
      </c>
      <c r="H32" s="21" t="n">
        <v>1129</v>
      </c>
      <c r="I32" s="21" t="n">
        <v>1126</v>
      </c>
      <c r="J32" s="21" t="n">
        <v>1120</v>
      </c>
      <c r="K32" s="21" t="n">
        <v>1115</v>
      </c>
    </row>
    <row r="33">
      <c r="A33" s="19" t="inlineStr">
        <is>
          <t>Dividends per share ($)</t>
        </is>
      </c>
      <c r="B33" s="26" t="n">
        <v>0</v>
      </c>
      <c r="C33" s="26" t="n">
        <v>0.4</v>
      </c>
      <c r="D33" s="26" t="n">
        <v>0.46</v>
      </c>
      <c r="E33" s="26" t="n">
        <v>0.46</v>
      </c>
      <c r="F33" s="26" t="n">
        <v>0.46</v>
      </c>
      <c r="G33" s="27" t="n">
        <v>0.46</v>
      </c>
      <c r="H33" s="27" t="n">
        <v>0.5</v>
      </c>
      <c r="I33" s="27" t="n">
        <v>0.55</v>
      </c>
      <c r="J33" s="27" t="n">
        <v>0.6</v>
      </c>
      <c r="K33" s="27" t="n">
        <v>0.66</v>
      </c>
    </row>
    <row r="36">
      <c r="A36" s="2" t="inlineStr">
        <is>
          <t>Sources: Micron 10-K FY2025 Consolidated Statements of Operations; FY2021-22 figures from FY2022 10-K. Projections by analyst.</t>
        </is>
      </c>
    </row>
  </sheetData>
  <mergeCells count="3">
    <mergeCell ref="A2:L2"/>
    <mergeCell ref="A1:L1"/>
    <mergeCell ref="A36:K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4" customHeight="1">
      <c r="A1" s="1" t="inlineStr">
        <is>
          <t>Micron Technology — Cash Flow Statement (Consolidated, GAAP)</t>
        </is>
      </c>
    </row>
    <row r="2">
      <c r="A2" s="2" t="inlineStr">
        <is>
          <t>All figures in $millions.</t>
        </is>
      </c>
    </row>
    <row r="4">
      <c r="A4" s="3" t="inlineStr">
        <is>
          <t>($ in millions)</t>
        </is>
      </c>
      <c r="B4" s="4" t="inlineStr">
        <is>
          <t>FY2021A</t>
        </is>
      </c>
      <c r="C4" s="4" t="inlineStr">
        <is>
          <t>FY2022A</t>
        </is>
      </c>
      <c r="D4" s="4" t="inlineStr">
        <is>
          <t>FY2023A</t>
        </is>
      </c>
      <c r="E4" s="4" t="inlineStr">
        <is>
          <t>FY2024A</t>
        </is>
      </c>
      <c r="F4" s="4" t="inlineStr">
        <is>
          <t>FY2025A</t>
        </is>
      </c>
      <c r="G4" s="5" t="inlineStr">
        <is>
          <t>FY2026E</t>
        </is>
      </c>
      <c r="H4" s="5" t="inlineStr">
        <is>
          <t>FY2027E</t>
        </is>
      </c>
      <c r="I4" s="5" t="inlineStr">
        <is>
          <t>FY2028E</t>
        </is>
      </c>
      <c r="J4" s="5" t="inlineStr">
        <is>
          <t>FY2029E</t>
        </is>
      </c>
      <c r="K4" s="5" t="inlineStr">
        <is>
          <t>FY2030E</t>
        </is>
      </c>
    </row>
    <row r="5">
      <c r="A5" s="6" t="inlineStr">
        <is>
          <t>OPERATING ACTIVITIES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</row>
    <row r="6">
      <c r="A6" s="19" t="inlineStr">
        <is>
          <t xml:space="preserve">  Net income (loss)</t>
        </is>
      </c>
      <c r="B6" s="20" t="n">
        <v>6797</v>
      </c>
      <c r="C6" s="20" t="n">
        <v>9323</v>
      </c>
      <c r="D6" s="20" t="n">
        <v>-5357</v>
      </c>
      <c r="E6" s="20" t="n">
        <v>2092</v>
      </c>
      <c r="F6" s="20" t="n">
        <v>9805</v>
      </c>
      <c r="G6" s="21" t="n">
        <v>25140</v>
      </c>
      <c r="H6" s="21" t="n">
        <v>29455</v>
      </c>
      <c r="I6" s="21" t="n">
        <v>23100</v>
      </c>
      <c r="J6" s="21" t="n">
        <v>26560</v>
      </c>
      <c r="K6" s="21" t="n">
        <v>29740</v>
      </c>
    </row>
    <row r="7">
      <c r="A7" s="19" t="inlineStr">
        <is>
          <t xml:space="preserve">  Depreciation &amp; amortization</t>
        </is>
      </c>
      <c r="B7" s="20" t="n">
        <v>5569</v>
      </c>
      <c r="C7" s="20" t="n">
        <v>5888</v>
      </c>
      <c r="D7" s="20" t="n">
        <v>7432</v>
      </c>
      <c r="E7" s="20" t="n">
        <v>7587</v>
      </c>
      <c r="F7" s="20" t="n">
        <v>8165</v>
      </c>
      <c r="G7" s="21" t="n">
        <v>9500</v>
      </c>
      <c r="H7" s="21" t="n">
        <v>11000</v>
      </c>
      <c r="I7" s="21" t="n">
        <v>12500</v>
      </c>
      <c r="J7" s="21" t="n">
        <v>13500</v>
      </c>
      <c r="K7" s="21" t="n">
        <v>14500</v>
      </c>
    </row>
    <row r="8">
      <c r="A8" s="19" t="inlineStr">
        <is>
          <t xml:space="preserve">  Stock-based compensation</t>
        </is>
      </c>
      <c r="B8" s="20" t="n">
        <v>285</v>
      </c>
      <c r="C8" s="20" t="n">
        <v>350</v>
      </c>
      <c r="D8" s="20" t="n">
        <v>392</v>
      </c>
      <c r="E8" s="20" t="n">
        <v>480</v>
      </c>
      <c r="F8" s="20" t="n">
        <v>600</v>
      </c>
      <c r="G8" s="21" t="n">
        <v>720</v>
      </c>
      <c r="H8" s="21" t="n">
        <v>800</v>
      </c>
      <c r="I8" s="21" t="n">
        <v>850</v>
      </c>
      <c r="J8" s="21" t="n">
        <v>900</v>
      </c>
      <c r="K8" s="21" t="n">
        <v>950</v>
      </c>
    </row>
    <row r="9">
      <c r="A9" s="19" t="inlineStr">
        <is>
          <t xml:space="preserve">  Change in deferred income taxes</t>
        </is>
      </c>
      <c r="B9" s="20" t="n">
        <v>110</v>
      </c>
      <c r="C9" s="20" t="n">
        <v>230</v>
      </c>
      <c r="D9" s="20" t="n">
        <v>1100</v>
      </c>
      <c r="E9" s="20" t="n">
        <v>260</v>
      </c>
      <c r="F9" s="20" t="n">
        <v>740</v>
      </c>
      <c r="G9" s="21" t="n">
        <v>400</v>
      </c>
      <c r="H9" s="21" t="n">
        <v>200</v>
      </c>
      <c r="I9" s="21" t="n">
        <v>300</v>
      </c>
      <c r="J9" s="21" t="n">
        <v>400</v>
      </c>
      <c r="K9" s="21" t="n">
        <v>500</v>
      </c>
    </row>
    <row r="10">
      <c r="A10" s="19" t="inlineStr">
        <is>
          <t xml:space="preserve">  Inventory write-downs (non-cash)</t>
        </is>
      </c>
      <c r="B10" s="20" t="n">
        <v>50</v>
      </c>
      <c r="C10" s="20" t="n">
        <v>50</v>
      </c>
      <c r="D10" s="20" t="n">
        <v>1830</v>
      </c>
      <c r="E10" s="20" t="n">
        <v>100</v>
      </c>
      <c r="F10" s="20" t="n">
        <v>50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</row>
    <row r="11">
      <c r="A11" s="19" t="inlineStr">
        <is>
          <t xml:space="preserve">  Change in inventories</t>
        </is>
      </c>
      <c r="B11" s="20" t="n">
        <v>840</v>
      </c>
      <c r="C11" s="20" t="n">
        <v>1400</v>
      </c>
      <c r="D11" s="20" t="n">
        <v>1850</v>
      </c>
      <c r="E11" s="20" t="n">
        <v>1400</v>
      </c>
      <c r="F11" s="20" t="n">
        <v>1850</v>
      </c>
      <c r="G11" s="21" t="n">
        <v>1000</v>
      </c>
      <c r="H11" s="21" t="n">
        <v>1500</v>
      </c>
      <c r="I11" s="21" t="n">
        <v>800</v>
      </c>
      <c r="J11" s="21" t="n">
        <v>1200</v>
      </c>
      <c r="K11" s="21" t="n">
        <v>1300</v>
      </c>
    </row>
    <row r="12">
      <c r="A12" s="19" t="inlineStr">
        <is>
          <t xml:space="preserve">  Change in receivables</t>
        </is>
      </c>
      <c r="B12" s="20" t="n">
        <v>800</v>
      </c>
      <c r="C12" s="20" t="n">
        <v>1500</v>
      </c>
      <c r="D12" s="20" t="n">
        <v>1700</v>
      </c>
      <c r="E12" s="20" t="n">
        <v>2100</v>
      </c>
      <c r="F12" s="20" t="n">
        <v>4200</v>
      </c>
      <c r="G12" s="21" t="n">
        <v>2500</v>
      </c>
      <c r="H12" s="21" t="n">
        <v>1700</v>
      </c>
      <c r="I12" s="21" t="n">
        <v>1000</v>
      </c>
      <c r="J12" s="21" t="n">
        <v>1300</v>
      </c>
      <c r="K12" s="21" t="n">
        <v>1300</v>
      </c>
    </row>
    <row r="13">
      <c r="A13" s="19" t="inlineStr">
        <is>
          <t xml:space="preserve">  Change in payables &amp; accrued</t>
        </is>
      </c>
      <c r="B13" s="20" t="n">
        <v>700</v>
      </c>
      <c r="C13" s="20" t="n">
        <v>200</v>
      </c>
      <c r="D13" s="20" t="n">
        <v>700</v>
      </c>
      <c r="E13" s="20" t="n">
        <v>1900</v>
      </c>
      <c r="F13" s="20" t="n">
        <v>3050</v>
      </c>
      <c r="G13" s="21" t="n">
        <v>1500</v>
      </c>
      <c r="H13" s="21" t="n">
        <v>1300</v>
      </c>
      <c r="I13" s="21" t="n">
        <v>500</v>
      </c>
      <c r="J13" s="21" t="n">
        <v>800</v>
      </c>
      <c r="K13" s="21" t="n">
        <v>900</v>
      </c>
    </row>
    <row r="14">
      <c r="A14" s="19" t="inlineStr">
        <is>
          <t xml:space="preserve">  Other operating items</t>
        </is>
      </c>
      <c r="B14" s="20" t="n">
        <v>400</v>
      </c>
      <c r="C14" s="20" t="n">
        <v>150</v>
      </c>
      <c r="D14" s="20" t="n">
        <v>200</v>
      </c>
      <c r="E14" s="20" t="n">
        <v>600</v>
      </c>
      <c r="F14" s="20" t="n">
        <v>1010</v>
      </c>
      <c r="G14" s="21" t="n">
        <v>600</v>
      </c>
      <c r="H14" s="21" t="n">
        <v>700</v>
      </c>
      <c r="I14" s="21" t="n">
        <v>800</v>
      </c>
      <c r="J14" s="21" t="n">
        <v>900</v>
      </c>
      <c r="K14" s="21" t="n">
        <v>1000</v>
      </c>
    </row>
    <row r="15">
      <c r="A15" s="8" t="inlineStr">
        <is>
          <t>CASH FROM OPERATIONS</t>
        </is>
      </c>
      <c r="B15" s="15" t="n">
        <v>12468</v>
      </c>
      <c r="C15" s="15" t="n">
        <v>15181</v>
      </c>
      <c r="D15" s="15" t="n">
        <v>1559</v>
      </c>
      <c r="E15" s="15" t="n">
        <v>8507</v>
      </c>
      <c r="F15" s="15" t="n">
        <v>17530</v>
      </c>
      <c r="G15" s="15" t="n">
        <v>27680</v>
      </c>
      <c r="H15" s="15" t="n">
        <v>28850</v>
      </c>
      <c r="I15" s="15" t="n">
        <v>26050</v>
      </c>
      <c r="J15" s="15" t="n">
        <v>30130</v>
      </c>
      <c r="K15" s="15" t="n">
        <v>32400</v>
      </c>
    </row>
    <row r="17">
      <c r="A17" s="6" t="inlineStr">
        <is>
          <t>INVESTING ACTIVITIES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</row>
    <row r="18">
      <c r="A18" s="19" t="inlineStr">
        <is>
          <t xml:space="preserve">  Capital expenditures (gross)</t>
        </is>
      </c>
      <c r="B18" s="20" t="n">
        <v>9696</v>
      </c>
      <c r="C18" s="20" t="n">
        <v>11481</v>
      </c>
      <c r="D18" s="20" t="n">
        <v>7676</v>
      </c>
      <c r="E18" s="20" t="n">
        <v>8386</v>
      </c>
      <c r="F18" s="20" t="n">
        <v>15864</v>
      </c>
      <c r="G18" s="21" t="n">
        <v>17500</v>
      </c>
      <c r="H18" s="21" t="n">
        <v>16000</v>
      </c>
      <c r="I18" s="21" t="n">
        <v>14500</v>
      </c>
      <c r="J18" s="21" t="n">
        <v>15000</v>
      </c>
      <c r="K18" s="21" t="n">
        <v>15500</v>
      </c>
    </row>
    <row r="19">
      <c r="A19" s="19" t="inlineStr">
        <is>
          <t xml:space="preserve">  Government incentive proceeds (CHIPS)</t>
        </is>
      </c>
      <c r="B19" s="20" t="n">
        <v>0</v>
      </c>
      <c r="C19" s="20" t="n">
        <v>0</v>
      </c>
      <c r="D19" s="20" t="n">
        <v>0</v>
      </c>
      <c r="E19" s="20" t="n">
        <v>130</v>
      </c>
      <c r="F19" s="20" t="n">
        <v>2025</v>
      </c>
      <c r="G19" s="21" t="n">
        <v>1800</v>
      </c>
      <c r="H19" s="21" t="n">
        <v>1500</v>
      </c>
      <c r="I19" s="21" t="n">
        <v>1000</v>
      </c>
      <c r="J19" s="21" t="n">
        <v>700</v>
      </c>
      <c r="K19" s="21" t="n">
        <v>500</v>
      </c>
    </row>
    <row r="20">
      <c r="A20" s="19" t="inlineStr">
        <is>
          <t xml:space="preserve">  Investments (purchases/sales/maturities)</t>
        </is>
      </c>
      <c r="B20" s="20" t="n">
        <v>500</v>
      </c>
      <c r="C20" s="20" t="n">
        <v>2000</v>
      </c>
      <c r="D20" s="20" t="n">
        <v>3500</v>
      </c>
      <c r="E20" s="20" t="n">
        <v>1200</v>
      </c>
      <c r="F20" s="20" t="n">
        <v>5300</v>
      </c>
      <c r="G20" s="21" t="n">
        <v>1500</v>
      </c>
      <c r="H20" s="21" t="n">
        <v>1500</v>
      </c>
      <c r="I20" s="21" t="n">
        <v>800</v>
      </c>
      <c r="J20" s="21" t="n">
        <v>1000</v>
      </c>
      <c r="K20" s="21" t="n">
        <v>1200</v>
      </c>
    </row>
    <row r="21">
      <c r="A21" s="8" t="inlineStr">
        <is>
          <t>CASH FROM INVESTING</t>
        </is>
      </c>
      <c r="B21" s="15" t="n">
        <v>10196</v>
      </c>
      <c r="C21" s="15" t="n">
        <v>13481</v>
      </c>
      <c r="D21" s="15" t="n">
        <v>4176</v>
      </c>
      <c r="E21" s="15" t="n">
        <v>7056</v>
      </c>
      <c r="F21" s="15" t="n">
        <v>19139</v>
      </c>
      <c r="G21" s="15" t="n">
        <v>17200</v>
      </c>
      <c r="H21" s="15" t="n">
        <v>16000</v>
      </c>
      <c r="I21" s="15" t="n">
        <v>12700</v>
      </c>
      <c r="J21" s="15" t="n">
        <v>15300</v>
      </c>
      <c r="K21" s="15" t="n">
        <v>16200</v>
      </c>
    </row>
    <row r="23">
      <c r="A23" s="6" t="inlineStr">
        <is>
          <t>FINANCING ACTIVITIES</t>
        </is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</row>
    <row r="24">
      <c r="A24" s="19" t="inlineStr">
        <is>
          <t xml:space="preserve">  Debt issuances</t>
        </is>
      </c>
      <c r="B24" s="20" t="n">
        <v>0</v>
      </c>
      <c r="C24" s="20" t="n">
        <v>1000</v>
      </c>
      <c r="D24" s="20" t="n">
        <v>3300</v>
      </c>
      <c r="E24" s="20" t="n">
        <v>800</v>
      </c>
      <c r="F24" s="20" t="n">
        <v>2000</v>
      </c>
      <c r="G24" s="21" t="n">
        <v>1500</v>
      </c>
      <c r="H24" s="21" t="n">
        <v>1000</v>
      </c>
      <c r="I24" s="21" t="n">
        <v>1000</v>
      </c>
      <c r="J24" s="21" t="n">
        <v>0</v>
      </c>
      <c r="K24" s="21" t="n">
        <v>500</v>
      </c>
    </row>
    <row r="25">
      <c r="A25" s="19" t="inlineStr">
        <is>
          <t xml:space="preserve">  Debt repayments</t>
        </is>
      </c>
      <c r="B25" s="20" t="n">
        <v>2500</v>
      </c>
      <c r="C25" s="20" t="n">
        <v>1800</v>
      </c>
      <c r="D25" s="20" t="n">
        <v>1100</v>
      </c>
      <c r="E25" s="20" t="n">
        <v>1700</v>
      </c>
      <c r="F25" s="20" t="n">
        <v>1700</v>
      </c>
      <c r="G25" s="21" t="n">
        <v>2000</v>
      </c>
      <c r="H25" s="21" t="n">
        <v>1500</v>
      </c>
      <c r="I25" s="21" t="n">
        <v>1500</v>
      </c>
      <c r="J25" s="21" t="n">
        <v>1700</v>
      </c>
      <c r="K25" s="21" t="n">
        <v>1700</v>
      </c>
    </row>
    <row r="26">
      <c r="A26" s="19" t="inlineStr">
        <is>
          <t xml:space="preserve">  Dividends paid</t>
        </is>
      </c>
      <c r="B26" s="20" t="n">
        <v>0</v>
      </c>
      <c r="C26" s="20" t="n">
        <v>430</v>
      </c>
      <c r="D26" s="20" t="n">
        <v>502</v>
      </c>
      <c r="E26" s="20" t="n">
        <v>514</v>
      </c>
      <c r="F26" s="20" t="n">
        <v>521</v>
      </c>
      <c r="G26" s="21" t="n">
        <v>525</v>
      </c>
      <c r="H26" s="21" t="n">
        <v>560</v>
      </c>
      <c r="I26" s="21" t="n">
        <v>615</v>
      </c>
      <c r="J26" s="21" t="n">
        <v>670</v>
      </c>
      <c r="K26" s="21" t="n">
        <v>730</v>
      </c>
    </row>
    <row r="27">
      <c r="A27" s="19" t="inlineStr">
        <is>
          <t xml:space="preserve">  Share repurchases</t>
        </is>
      </c>
      <c r="B27" s="20" t="n">
        <v>1200</v>
      </c>
      <c r="C27" s="20" t="n">
        <v>2400</v>
      </c>
      <c r="D27" s="20" t="n">
        <v>425</v>
      </c>
      <c r="E27" s="20" t="n">
        <v>0</v>
      </c>
      <c r="F27" s="20" t="n">
        <v>0</v>
      </c>
      <c r="G27" s="21" t="n">
        <v>3000</v>
      </c>
      <c r="H27" s="21" t="n">
        <v>3500</v>
      </c>
      <c r="I27" s="21" t="n">
        <v>2500</v>
      </c>
      <c r="J27" s="21" t="n">
        <v>3500</v>
      </c>
      <c r="K27" s="21" t="n">
        <v>4500</v>
      </c>
    </row>
    <row r="28">
      <c r="A28" s="19" t="inlineStr">
        <is>
          <t xml:space="preserve">  Other financing</t>
        </is>
      </c>
      <c r="B28" s="20" t="n">
        <v>150</v>
      </c>
      <c r="C28" s="20" t="n">
        <v>220</v>
      </c>
      <c r="D28" s="20" t="n">
        <v>115</v>
      </c>
      <c r="E28" s="20" t="n">
        <v>110</v>
      </c>
      <c r="F28" s="20" t="n">
        <v>80</v>
      </c>
      <c r="G28" s="21" t="n">
        <v>100</v>
      </c>
      <c r="H28" s="21" t="n">
        <v>100</v>
      </c>
      <c r="I28" s="21" t="n">
        <v>100</v>
      </c>
      <c r="J28" s="21" t="n">
        <v>100</v>
      </c>
      <c r="K28" s="21" t="n">
        <v>100</v>
      </c>
    </row>
    <row r="29">
      <c r="A29" s="8" t="inlineStr">
        <is>
          <t>CASH FROM FINANCING</t>
        </is>
      </c>
      <c r="B29" s="15" t="n">
        <v>3850</v>
      </c>
      <c r="C29" s="15" t="n">
        <v>5850</v>
      </c>
      <c r="D29" s="15" t="n">
        <v>5442</v>
      </c>
      <c r="E29" s="15" t="n">
        <v>3124</v>
      </c>
      <c r="F29" s="15" t="n">
        <v>4301</v>
      </c>
      <c r="G29" s="15" t="n">
        <v>7125</v>
      </c>
      <c r="H29" s="15" t="n">
        <v>6660</v>
      </c>
      <c r="I29" s="15" t="n">
        <v>5715</v>
      </c>
      <c r="J29" s="15" t="n">
        <v>5970</v>
      </c>
      <c r="K29" s="15" t="n">
        <v>7530</v>
      </c>
    </row>
    <row r="31">
      <c r="A31" s="19" t="inlineStr">
        <is>
          <t xml:space="preserve">  FX effect on cash</t>
        </is>
      </c>
      <c r="B31" s="20" t="n">
        <v>10</v>
      </c>
      <c r="C31" s="20" t="n">
        <v>50</v>
      </c>
      <c r="D31" s="20" t="n">
        <v>30</v>
      </c>
      <c r="E31" s="20" t="n">
        <v>15</v>
      </c>
      <c r="F31" s="20" t="n">
        <v>80</v>
      </c>
      <c r="G31" s="21" t="n">
        <v>10</v>
      </c>
      <c r="H31" s="21" t="n">
        <v>10</v>
      </c>
      <c r="I31" s="21" t="n">
        <v>10</v>
      </c>
      <c r="J31" s="21" t="n">
        <v>10</v>
      </c>
      <c r="K31" s="21" t="n">
        <v>10</v>
      </c>
    </row>
    <row r="32">
      <c r="A32" s="8" t="inlineStr">
        <is>
          <t>NET CHANGE IN CASH</t>
        </is>
      </c>
      <c r="B32" s="15" t="n">
        <v>26524</v>
      </c>
      <c r="C32" s="15" t="n">
        <v>34562</v>
      </c>
      <c r="D32" s="15" t="n">
        <v>11207</v>
      </c>
      <c r="E32" s="15" t="n">
        <v>18702</v>
      </c>
      <c r="F32" s="15" t="n">
        <v>41050</v>
      </c>
      <c r="G32" s="15" t="n">
        <v>52015</v>
      </c>
      <c r="H32" s="15" t="n">
        <v>51520</v>
      </c>
      <c r="I32" s="15" t="n">
        <v>44475</v>
      </c>
      <c r="J32" s="15" t="n">
        <v>51410</v>
      </c>
      <c r="K32" s="15" t="n">
        <v>56140</v>
      </c>
    </row>
    <row r="34">
      <c r="A34" s="6" t="inlineStr">
        <is>
          <t>FREE CASH FLOW (calculated)</t>
        </is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</row>
    <row r="35">
      <c r="A35" s="8" t="inlineStr">
        <is>
          <t>FCF (OCF − gross capex)</t>
        </is>
      </c>
      <c r="B35" s="15" t="n">
        <v>22164</v>
      </c>
      <c r="C35" s="15" t="n">
        <v>26662</v>
      </c>
      <c r="D35" s="15" t="n">
        <v>9235</v>
      </c>
      <c r="E35" s="15" t="n">
        <v>16893</v>
      </c>
      <c r="F35" s="15" t="n">
        <v>33394</v>
      </c>
      <c r="G35" s="15" t="n">
        <v>45180</v>
      </c>
      <c r="H35" s="15" t="n">
        <v>44850</v>
      </c>
      <c r="I35" s="15" t="n">
        <v>40550</v>
      </c>
      <c r="J35" s="15" t="n">
        <v>45130</v>
      </c>
      <c r="K35" s="15" t="n">
        <v>47900</v>
      </c>
    </row>
    <row r="36">
      <c r="A36" s="8" t="inlineStr">
        <is>
          <t>FCF net of CHIPS incentives</t>
        </is>
      </c>
      <c r="B36" s="22" t="n">
        <v>22164</v>
      </c>
      <c r="C36" s="22" t="n">
        <v>26662</v>
      </c>
      <c r="D36" s="22" t="n">
        <v>9235</v>
      </c>
      <c r="E36" s="22" t="n">
        <v>17023</v>
      </c>
      <c r="F36" s="22" t="n">
        <v>35419</v>
      </c>
      <c r="G36" s="23" t="n">
        <v>46980</v>
      </c>
      <c r="H36" s="23" t="n">
        <v>46350</v>
      </c>
      <c r="I36" s="23" t="n">
        <v>41550</v>
      </c>
      <c r="J36" s="23" t="n">
        <v>45830</v>
      </c>
      <c r="K36" s="23" t="n">
        <v>48400</v>
      </c>
    </row>
    <row r="39">
      <c r="A39" s="2" t="inlineStr">
        <is>
          <t>Sources: Micron 10-K FY2025 Consolidated Statements of Cash Flows; capex from FY2025 supplementals showing $2,025M CHIPS proceeds.</t>
        </is>
      </c>
    </row>
  </sheetData>
  <mergeCells count="3">
    <mergeCell ref="A39:K39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4" customHeight="1">
      <c r="A1" s="1" t="inlineStr">
        <is>
          <t>Micron Technology — Balance Sheet (Consolidated, GAAP)</t>
        </is>
      </c>
    </row>
    <row r="2">
      <c r="A2" s="2" t="inlineStr">
        <is>
          <t>All figures in $millions. Year-end balances.</t>
        </is>
      </c>
    </row>
    <row r="4">
      <c r="A4" s="3" t="inlineStr">
        <is>
          <t>($ in millions)</t>
        </is>
      </c>
      <c r="B4" s="4" t="inlineStr">
        <is>
          <t>FY2021A</t>
        </is>
      </c>
      <c r="C4" s="4" t="inlineStr">
        <is>
          <t>FY2022A</t>
        </is>
      </c>
      <c r="D4" s="4" t="inlineStr">
        <is>
          <t>FY2023A</t>
        </is>
      </c>
      <c r="E4" s="4" t="inlineStr">
        <is>
          <t>FY2024A</t>
        </is>
      </c>
      <c r="F4" s="4" t="inlineStr">
        <is>
          <t>FY2025A</t>
        </is>
      </c>
      <c r="G4" s="5" t="inlineStr">
        <is>
          <t>FY2026E</t>
        </is>
      </c>
      <c r="H4" s="5" t="inlineStr">
        <is>
          <t>FY2027E</t>
        </is>
      </c>
      <c r="I4" s="5" t="inlineStr">
        <is>
          <t>FY2028E</t>
        </is>
      </c>
      <c r="J4" s="5" t="inlineStr">
        <is>
          <t>FY2029E</t>
        </is>
      </c>
      <c r="K4" s="5" t="inlineStr">
        <is>
          <t>FY2030E</t>
        </is>
      </c>
    </row>
    <row r="5">
      <c r="A5" s="6" t="inlineStr">
        <is>
          <t>ASSETS — CURRENT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</row>
    <row r="6">
      <c r="A6" s="19" t="inlineStr">
        <is>
          <t xml:space="preserve">  Cash &amp; cash equivalents</t>
        </is>
      </c>
      <c r="B6" s="20" t="n">
        <v>7829</v>
      </c>
      <c r="C6" s="20" t="n">
        <v>8262</v>
      </c>
      <c r="D6" s="20" t="n">
        <v>8577</v>
      </c>
      <c r="E6" s="20" t="n">
        <v>7041</v>
      </c>
      <c r="F6" s="20" t="n">
        <v>11761</v>
      </c>
      <c r="G6" s="21" t="n">
        <v>22500</v>
      </c>
      <c r="H6" s="21" t="n">
        <v>31700</v>
      </c>
      <c r="I6" s="21" t="n">
        <v>42500</v>
      </c>
      <c r="J6" s="21" t="n">
        <v>53000</v>
      </c>
      <c r="K6" s="21" t="n">
        <v>64100</v>
      </c>
    </row>
    <row r="7">
      <c r="A7" s="19" t="inlineStr">
        <is>
          <t xml:space="preserve">  Short-term investments</t>
        </is>
      </c>
      <c r="B7" s="20" t="n">
        <v>832</v>
      </c>
      <c r="C7" s="20" t="n">
        <v>1069</v>
      </c>
      <c r="D7" s="20" t="n">
        <v>595</v>
      </c>
      <c r="E7" s="20" t="n">
        <v>1080</v>
      </c>
      <c r="F7" s="20" t="n">
        <v>250</v>
      </c>
      <c r="G7" s="21" t="n">
        <v>400</v>
      </c>
      <c r="H7" s="21" t="n">
        <v>400</v>
      </c>
      <c r="I7" s="21" t="n">
        <v>400</v>
      </c>
      <c r="J7" s="21" t="n">
        <v>400</v>
      </c>
      <c r="K7" s="21" t="n">
        <v>400</v>
      </c>
    </row>
    <row r="8">
      <c r="A8" s="19" t="inlineStr">
        <is>
          <t xml:space="preserve">  Accounts receivable, net</t>
        </is>
      </c>
      <c r="B8" s="20" t="n">
        <v>5424</v>
      </c>
      <c r="C8" s="20" t="n">
        <v>5130</v>
      </c>
      <c r="D8" s="20" t="n">
        <v>3431</v>
      </c>
      <c r="E8" s="20" t="n">
        <v>5538</v>
      </c>
      <c r="F8" s="20" t="n">
        <v>9750</v>
      </c>
      <c r="G8" s="21" t="n">
        <v>12200</v>
      </c>
      <c r="H8" s="21" t="n">
        <v>13900</v>
      </c>
      <c r="I8" s="21" t="n">
        <v>12900</v>
      </c>
      <c r="J8" s="21" t="n">
        <v>14200</v>
      </c>
      <c r="K8" s="21" t="n">
        <v>15500</v>
      </c>
    </row>
    <row r="9">
      <c r="A9" s="19" t="inlineStr">
        <is>
          <t xml:space="preserve">  Inventories</t>
        </is>
      </c>
      <c r="B9" s="20" t="n">
        <v>5061</v>
      </c>
      <c r="C9" s="20" t="n">
        <v>6663</v>
      </c>
      <c r="D9" s="20" t="n">
        <v>4684</v>
      </c>
      <c r="E9" s="20" t="n">
        <v>6254</v>
      </c>
      <c r="F9" s="20" t="n">
        <v>8100</v>
      </c>
      <c r="G9" s="21" t="n">
        <v>9100</v>
      </c>
      <c r="H9" s="21" t="n">
        <v>10600</v>
      </c>
      <c r="I9" s="21" t="n">
        <v>9800</v>
      </c>
      <c r="J9" s="21" t="n">
        <v>11000</v>
      </c>
      <c r="K9" s="21" t="n">
        <v>12300</v>
      </c>
    </row>
    <row r="10">
      <c r="A10" s="19" t="inlineStr">
        <is>
          <t xml:space="preserve">  Other current assets</t>
        </is>
      </c>
      <c r="B10" s="20" t="n">
        <v>657</v>
      </c>
      <c r="C10" s="20" t="n">
        <v>698</v>
      </c>
      <c r="D10" s="20" t="n">
        <v>657</v>
      </c>
      <c r="E10" s="20" t="n">
        <v>720</v>
      </c>
      <c r="F10" s="20" t="n">
        <v>1015</v>
      </c>
      <c r="G10" s="21" t="n">
        <v>1200</v>
      </c>
      <c r="H10" s="21" t="n">
        <v>1300</v>
      </c>
      <c r="I10" s="21" t="n">
        <v>1300</v>
      </c>
      <c r="J10" s="21" t="n">
        <v>1400</v>
      </c>
      <c r="K10" s="21" t="n">
        <v>1500</v>
      </c>
    </row>
    <row r="11">
      <c r="A11" s="8" t="inlineStr">
        <is>
          <t>Total current assets</t>
        </is>
      </c>
      <c r="B11" s="15" t="n">
        <v>19803</v>
      </c>
      <c r="C11" s="15" t="n">
        <v>21822</v>
      </c>
      <c r="D11" s="15" t="n">
        <v>17944</v>
      </c>
      <c r="E11" s="15" t="n">
        <v>20633</v>
      </c>
      <c r="F11" s="15" t="n">
        <v>30876</v>
      </c>
      <c r="G11" s="15" t="n">
        <v>45400</v>
      </c>
      <c r="H11" s="15" t="n">
        <v>57900</v>
      </c>
      <c r="I11" s="15" t="n">
        <v>66900</v>
      </c>
      <c r="J11" s="15" t="n">
        <v>80000</v>
      </c>
      <c r="K11" s="15" t="n">
        <v>93800</v>
      </c>
    </row>
    <row r="13">
      <c r="A13" s="6" t="inlineStr">
        <is>
          <t>ASSETS — LONG-TERM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</row>
    <row r="14">
      <c r="A14" s="19" t="inlineStr">
        <is>
          <t xml:space="preserve">  Property, plant &amp; equipment, net</t>
        </is>
      </c>
      <c r="B14" s="20" t="n">
        <v>29826</v>
      </c>
      <c r="C14" s="20" t="n">
        <v>35064</v>
      </c>
      <c r="D14" s="20" t="n">
        <v>38763</v>
      </c>
      <c r="E14" s="20" t="n">
        <v>39749</v>
      </c>
      <c r="F14" s="20" t="n">
        <v>46594</v>
      </c>
      <c r="G14" s="21" t="n">
        <v>53500</v>
      </c>
      <c r="H14" s="21" t="n">
        <v>58000</v>
      </c>
      <c r="I14" s="21" t="n">
        <v>60500</v>
      </c>
      <c r="J14" s="21" t="n">
        <v>62200</v>
      </c>
      <c r="K14" s="21" t="n">
        <v>63500</v>
      </c>
    </row>
    <row r="15">
      <c r="A15" s="19" t="inlineStr">
        <is>
          <t xml:space="preserve">  Goodwill &amp; intangibles</t>
        </is>
      </c>
      <c r="B15" s="20" t="n">
        <v>1228</v>
      </c>
      <c r="C15" s="20" t="n">
        <v>1228</v>
      </c>
      <c r="D15" s="20" t="n">
        <v>1228</v>
      </c>
      <c r="E15" s="20" t="n">
        <v>1228</v>
      </c>
      <c r="F15" s="20" t="n">
        <v>1228</v>
      </c>
      <c r="G15" s="21" t="n">
        <v>1228</v>
      </c>
      <c r="H15" s="21" t="n">
        <v>1228</v>
      </c>
      <c r="I15" s="21" t="n">
        <v>1228</v>
      </c>
      <c r="J15" s="21" t="n">
        <v>1228</v>
      </c>
      <c r="K15" s="21" t="n">
        <v>1228</v>
      </c>
    </row>
    <row r="16">
      <c r="A16" s="19" t="inlineStr">
        <is>
          <t xml:space="preserve">  Deferred tax assets, net</t>
        </is>
      </c>
      <c r="B16" s="20" t="n">
        <v>600</v>
      </c>
      <c r="C16" s="20" t="n">
        <v>530</v>
      </c>
      <c r="D16" s="20" t="n">
        <v>1660</v>
      </c>
      <c r="E16" s="20" t="n">
        <v>1885</v>
      </c>
      <c r="F16" s="20" t="n">
        <v>1750</v>
      </c>
      <c r="G16" s="21" t="n">
        <v>1800</v>
      </c>
      <c r="H16" s="21" t="n">
        <v>1750</v>
      </c>
      <c r="I16" s="21" t="n">
        <v>1700</v>
      </c>
      <c r="J16" s="21" t="n">
        <v>1650</v>
      </c>
      <c r="K16" s="21" t="n">
        <v>1600</v>
      </c>
    </row>
    <row r="17">
      <c r="A17" s="19" t="inlineStr">
        <is>
          <t xml:space="preserve">  Other long-term assets</t>
        </is>
      </c>
      <c r="B17" s="20" t="n">
        <v>2076</v>
      </c>
      <c r="C17" s="20" t="n">
        <v>1855</v>
      </c>
      <c r="D17" s="20" t="n">
        <v>1762</v>
      </c>
      <c r="E17" s="20" t="n">
        <v>2415</v>
      </c>
      <c r="F17" s="20" t="n">
        <v>3216</v>
      </c>
      <c r="G17" s="21" t="n">
        <v>3500</v>
      </c>
      <c r="H17" s="21" t="n">
        <v>3700</v>
      </c>
      <c r="I17" s="21" t="n">
        <v>3900</v>
      </c>
      <c r="J17" s="21" t="n">
        <v>4100</v>
      </c>
      <c r="K17" s="21" t="n">
        <v>4300</v>
      </c>
    </row>
    <row r="18">
      <c r="A18" s="8" t="inlineStr">
        <is>
          <t>Total long-term assets</t>
        </is>
      </c>
      <c r="B18" s="15" t="n">
        <v>33730</v>
      </c>
      <c r="C18" s="15" t="n">
        <v>38677</v>
      </c>
      <c r="D18" s="15" t="n">
        <v>43413</v>
      </c>
      <c r="E18" s="15" t="n">
        <v>45277</v>
      </c>
      <c r="F18" s="15" t="n">
        <v>52788</v>
      </c>
      <c r="G18" s="15" t="n">
        <v>60028</v>
      </c>
      <c r="H18" s="15" t="n">
        <v>64678</v>
      </c>
      <c r="I18" s="15" t="n">
        <v>67328</v>
      </c>
      <c r="J18" s="15" t="n">
        <v>69178</v>
      </c>
      <c r="K18" s="15" t="n">
        <v>70628</v>
      </c>
    </row>
    <row r="19">
      <c r="A19" s="8" t="inlineStr">
        <is>
          <t>TOTAL ASSETS</t>
        </is>
      </c>
      <c r="B19" s="15" t="n">
        <v>53533</v>
      </c>
      <c r="C19" s="15" t="n">
        <v>60499</v>
      </c>
      <c r="D19" s="15" t="n">
        <v>61357</v>
      </c>
      <c r="E19" s="15" t="n">
        <v>65910</v>
      </c>
      <c r="F19" s="15" t="n">
        <v>83664</v>
      </c>
      <c r="G19" s="15" t="n">
        <v>105428</v>
      </c>
      <c r="H19" s="15" t="n">
        <v>122578</v>
      </c>
      <c r="I19" s="15" t="n">
        <v>134228</v>
      </c>
      <c r="J19" s="15" t="n">
        <v>149178</v>
      </c>
      <c r="K19" s="15" t="n">
        <v>164428</v>
      </c>
    </row>
    <row r="21">
      <c r="A21" s="6" t="inlineStr">
        <is>
          <t>LIABILITIES — CURRENT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</row>
    <row r="22">
      <c r="A22" s="19" t="inlineStr">
        <is>
          <t xml:space="preserve">  Accounts payable &amp; accrued</t>
        </is>
      </c>
      <c r="B22" s="20" t="n">
        <v>4979</v>
      </c>
      <c r="C22" s="20" t="n">
        <v>6090</v>
      </c>
      <c r="D22" s="20" t="n">
        <v>4373</v>
      </c>
      <c r="E22" s="20" t="n">
        <v>6262</v>
      </c>
      <c r="F22" s="20" t="n">
        <v>9314</v>
      </c>
      <c r="G22" s="21" t="n">
        <v>11000</v>
      </c>
      <c r="H22" s="21" t="n">
        <v>12100</v>
      </c>
      <c r="I22" s="21" t="n">
        <v>11400</v>
      </c>
      <c r="J22" s="21" t="n">
        <v>12500</v>
      </c>
      <c r="K22" s="21" t="n">
        <v>13800</v>
      </c>
    </row>
    <row r="23">
      <c r="A23" s="19" t="inlineStr">
        <is>
          <t xml:space="preserve">  Current portion of debt</t>
        </is>
      </c>
      <c r="B23" s="20" t="n">
        <v>144</v>
      </c>
      <c r="C23" s="20" t="n">
        <v>103</v>
      </c>
      <c r="D23" s="20" t="n">
        <v>211</v>
      </c>
      <c r="E23" s="20" t="n">
        <v>397</v>
      </c>
      <c r="F23" s="20" t="n">
        <v>442</v>
      </c>
      <c r="G23" s="21" t="n">
        <v>500</v>
      </c>
      <c r="H23" s="21" t="n">
        <v>600</v>
      </c>
      <c r="I23" s="21" t="n">
        <v>700</v>
      </c>
      <c r="J23" s="21" t="n">
        <v>800</v>
      </c>
      <c r="K23" s="21" t="n">
        <v>900</v>
      </c>
    </row>
    <row r="24">
      <c r="A24" s="19" t="inlineStr">
        <is>
          <t xml:space="preserve">  Other current liabilities</t>
        </is>
      </c>
      <c r="B24" s="20" t="n">
        <v>380</v>
      </c>
      <c r="C24" s="20" t="n">
        <v>420</v>
      </c>
      <c r="D24" s="20" t="n">
        <v>540</v>
      </c>
      <c r="E24" s="20" t="n">
        <v>800</v>
      </c>
      <c r="F24" s="20" t="n">
        <v>875</v>
      </c>
      <c r="G24" s="21" t="n">
        <v>1100</v>
      </c>
      <c r="H24" s="21" t="n">
        <v>1200</v>
      </c>
      <c r="I24" s="21" t="n">
        <v>1300</v>
      </c>
      <c r="J24" s="21" t="n">
        <v>1400</v>
      </c>
      <c r="K24" s="21" t="n">
        <v>1500</v>
      </c>
    </row>
    <row r="25">
      <c r="A25" s="8" t="inlineStr">
        <is>
          <t>Total current liabilities</t>
        </is>
      </c>
      <c r="B25" s="15" t="n">
        <v>5503</v>
      </c>
      <c r="C25" s="15" t="n">
        <v>6613</v>
      </c>
      <c r="D25" s="15" t="n">
        <v>5124</v>
      </c>
      <c r="E25" s="15" t="n">
        <v>7459</v>
      </c>
      <c r="F25" s="15" t="n">
        <v>10631</v>
      </c>
      <c r="G25" s="15" t="n">
        <v>12600</v>
      </c>
      <c r="H25" s="15" t="n">
        <v>13900</v>
      </c>
      <c r="I25" s="15" t="n">
        <v>13400</v>
      </c>
      <c r="J25" s="15" t="n">
        <v>14700</v>
      </c>
      <c r="K25" s="15" t="n">
        <v>16200</v>
      </c>
    </row>
    <row r="27">
      <c r="A27" s="6" t="inlineStr">
        <is>
          <t>LIABILITIES — LONG-TERM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</row>
    <row r="28">
      <c r="A28" s="19" t="inlineStr">
        <is>
          <t xml:space="preserve">  Long-term debt</t>
        </is>
      </c>
      <c r="B28" s="20" t="n">
        <v>6621</v>
      </c>
      <c r="C28" s="20" t="n">
        <v>6803</v>
      </c>
      <c r="D28" s="20" t="n">
        <v>12568</v>
      </c>
      <c r="E28" s="20" t="n">
        <v>13388</v>
      </c>
      <c r="F28" s="20" t="n">
        <v>14036</v>
      </c>
      <c r="G28" s="21" t="n">
        <v>13050</v>
      </c>
      <c r="H28" s="21" t="n">
        <v>12550</v>
      </c>
      <c r="I28" s="21" t="n">
        <v>12050</v>
      </c>
      <c r="J28" s="21" t="n">
        <v>10350</v>
      </c>
      <c r="K28" s="21" t="n">
        <v>9150</v>
      </c>
    </row>
    <row r="29">
      <c r="A29" s="19" t="inlineStr">
        <is>
          <t xml:space="preserve">  Deferred tax liabilities</t>
        </is>
      </c>
      <c r="B29" s="20" t="n">
        <v>600</v>
      </c>
      <c r="C29" s="20" t="n">
        <v>750</v>
      </c>
      <c r="D29" s="20" t="n">
        <v>850</v>
      </c>
      <c r="E29" s="20" t="n">
        <v>920</v>
      </c>
      <c r="F29" s="20" t="n">
        <v>990</v>
      </c>
      <c r="G29" s="21" t="n">
        <v>1100</v>
      </c>
      <c r="H29" s="21" t="n">
        <v>1200</v>
      </c>
      <c r="I29" s="21" t="n">
        <v>1300</v>
      </c>
      <c r="J29" s="21" t="n">
        <v>1400</v>
      </c>
      <c r="K29" s="21" t="n">
        <v>1500</v>
      </c>
    </row>
    <row r="30">
      <c r="A30" s="19" t="inlineStr">
        <is>
          <t xml:space="preserve">  Other long-term liabilities</t>
        </is>
      </c>
      <c r="B30" s="20" t="n">
        <v>925</v>
      </c>
      <c r="C30" s="20" t="n">
        <v>1055</v>
      </c>
      <c r="D30" s="20" t="n">
        <v>1140</v>
      </c>
      <c r="E30" s="20" t="n">
        <v>1245</v>
      </c>
      <c r="F30" s="20" t="n">
        <v>1404</v>
      </c>
      <c r="G30" s="21" t="n">
        <v>1500</v>
      </c>
      <c r="H30" s="21" t="n">
        <v>1600</v>
      </c>
      <c r="I30" s="21" t="n">
        <v>1700</v>
      </c>
      <c r="J30" s="21" t="n">
        <v>1800</v>
      </c>
      <c r="K30" s="21" t="n">
        <v>1900</v>
      </c>
    </row>
    <row r="31">
      <c r="A31" s="8" t="inlineStr">
        <is>
          <t>Total long-term liabilities</t>
        </is>
      </c>
      <c r="B31" s="15" t="n">
        <v>8146</v>
      </c>
      <c r="C31" s="15" t="n">
        <v>8608</v>
      </c>
      <c r="D31" s="15" t="n">
        <v>14558</v>
      </c>
      <c r="E31" s="15" t="n">
        <v>15553</v>
      </c>
      <c r="F31" s="15" t="n">
        <v>16430</v>
      </c>
      <c r="G31" s="15" t="n">
        <v>15650</v>
      </c>
      <c r="H31" s="15" t="n">
        <v>15350</v>
      </c>
      <c r="I31" s="15" t="n">
        <v>15050</v>
      </c>
      <c r="J31" s="15" t="n">
        <v>13550</v>
      </c>
      <c r="K31" s="15" t="n">
        <v>12550</v>
      </c>
    </row>
    <row r="32">
      <c r="A32" s="8" t="inlineStr">
        <is>
          <t>TOTAL LIABILITIES</t>
        </is>
      </c>
      <c r="B32" s="15" t="n">
        <v>13649</v>
      </c>
      <c r="C32" s="15" t="n">
        <v>15221</v>
      </c>
      <c r="D32" s="15" t="n">
        <v>19682</v>
      </c>
      <c r="E32" s="15" t="n">
        <v>23012</v>
      </c>
      <c r="F32" s="15" t="n">
        <v>27061</v>
      </c>
      <c r="G32" s="15" t="n">
        <v>28250</v>
      </c>
      <c r="H32" s="15" t="n">
        <v>29250</v>
      </c>
      <c r="I32" s="15" t="n">
        <v>28450</v>
      </c>
      <c r="J32" s="15" t="n">
        <v>28250</v>
      </c>
      <c r="K32" s="15" t="n">
        <v>28750</v>
      </c>
    </row>
    <row r="34">
      <c r="A34" s="6" t="inlineStr">
        <is>
          <t>STOCKHOLDERS' EQUITY</t>
        </is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</row>
    <row r="35">
      <c r="A35" s="19" t="inlineStr">
        <is>
          <t xml:space="preserve">  Common stock &amp; APIC</t>
        </is>
      </c>
      <c r="B35" s="20" t="n">
        <v>10700</v>
      </c>
      <c r="C35" s="20" t="n">
        <v>10500</v>
      </c>
      <c r="D35" s="20" t="n">
        <v>11100</v>
      </c>
      <c r="E35" s="20" t="n">
        <v>11900</v>
      </c>
      <c r="F35" s="20" t="n">
        <v>12300</v>
      </c>
      <c r="G35" s="21" t="n">
        <v>12600</v>
      </c>
      <c r="H35" s="21" t="n">
        <v>12700</v>
      </c>
      <c r="I35" s="21" t="n">
        <v>12700</v>
      </c>
      <c r="J35" s="21" t="n">
        <v>12700</v>
      </c>
      <c r="K35" s="21" t="n">
        <v>12700</v>
      </c>
    </row>
    <row r="36">
      <c r="A36" s="19" t="inlineStr">
        <is>
          <t xml:space="preserve">  Retained earnings</t>
        </is>
      </c>
      <c r="B36" s="20" t="n">
        <v>22995</v>
      </c>
      <c r="C36" s="20" t="n">
        <v>26900</v>
      </c>
      <c r="D36" s="20" t="n">
        <v>21010</v>
      </c>
      <c r="E36" s="20" t="n">
        <v>21500</v>
      </c>
      <c r="F36" s="20" t="n">
        <v>28200</v>
      </c>
      <c r="G36" s="21" t="n">
        <v>49800</v>
      </c>
      <c r="H36" s="21" t="n">
        <v>75550</v>
      </c>
      <c r="I36" s="21" t="n">
        <v>96150</v>
      </c>
      <c r="J36" s="21" t="n">
        <v>121530</v>
      </c>
      <c r="K36" s="21" t="n">
        <v>149200</v>
      </c>
    </row>
    <row r="37">
      <c r="A37" s="19" t="inlineStr">
        <is>
          <t xml:space="preserve">  Accumulated OCI</t>
        </is>
      </c>
      <c r="B37" s="20" t="n">
        <v>50</v>
      </c>
      <c r="C37" s="20" t="n">
        <v>180</v>
      </c>
      <c r="D37" s="20" t="n">
        <v>210</v>
      </c>
      <c r="E37" s="20" t="n">
        <v>220</v>
      </c>
      <c r="F37" s="20" t="n">
        <v>190</v>
      </c>
      <c r="G37" s="21" t="n">
        <v>180</v>
      </c>
      <c r="H37" s="21" t="n">
        <v>170</v>
      </c>
      <c r="I37" s="21" t="n">
        <v>160</v>
      </c>
      <c r="J37" s="21" t="n">
        <v>150</v>
      </c>
      <c r="K37" s="21" t="n">
        <v>140</v>
      </c>
    </row>
    <row r="38">
      <c r="A38" s="19" t="inlineStr">
        <is>
          <t xml:space="preserve">  Treasury stock</t>
        </is>
      </c>
      <c r="B38" s="20" t="n">
        <v>1500</v>
      </c>
      <c r="C38" s="20" t="n">
        <v>3950</v>
      </c>
      <c r="D38" s="20" t="n">
        <v>4400</v>
      </c>
      <c r="E38" s="20" t="n">
        <v>4400</v>
      </c>
      <c r="F38" s="20" t="n">
        <v>4400</v>
      </c>
      <c r="G38" s="21" t="n">
        <v>7400</v>
      </c>
      <c r="H38" s="21" t="n">
        <v>10900</v>
      </c>
      <c r="I38" s="21" t="n">
        <v>13400</v>
      </c>
      <c r="J38" s="21" t="n">
        <v>16900</v>
      </c>
      <c r="K38" s="21" t="n">
        <v>21400</v>
      </c>
    </row>
    <row r="39">
      <c r="A39" s="8" t="inlineStr">
        <is>
          <t>TOTAL STOCKHOLDERS' EQUITY</t>
        </is>
      </c>
      <c r="B39" s="15" t="n">
        <v>35245</v>
      </c>
      <c r="C39" s="15" t="n">
        <v>41530</v>
      </c>
      <c r="D39" s="15" t="n">
        <v>36720</v>
      </c>
      <c r="E39" s="15" t="n">
        <v>38020</v>
      </c>
      <c r="F39" s="15" t="n">
        <v>45090</v>
      </c>
      <c r="G39" s="15" t="n">
        <v>69980</v>
      </c>
      <c r="H39" s="15" t="n">
        <v>99320</v>
      </c>
      <c r="I39" s="15" t="n">
        <v>122410</v>
      </c>
      <c r="J39" s="15" t="n">
        <v>151280</v>
      </c>
      <c r="K39" s="15" t="n">
        <v>183440</v>
      </c>
    </row>
    <row r="40">
      <c r="A40" s="8" t="inlineStr">
        <is>
          <t>TOTAL LIAB. &amp; STOCKHOLDERS' EQUITY</t>
        </is>
      </c>
      <c r="B40" s="15" t="n">
        <v>48894</v>
      </c>
      <c r="C40" s="15" t="n">
        <v>56751</v>
      </c>
      <c r="D40" s="15" t="n">
        <v>56402</v>
      </c>
      <c r="E40" s="15" t="n">
        <v>61032</v>
      </c>
      <c r="F40" s="15" t="n">
        <v>72151</v>
      </c>
      <c r="G40" s="15" t="n">
        <v>98230</v>
      </c>
      <c r="H40" s="15" t="n">
        <v>128570</v>
      </c>
      <c r="I40" s="15" t="n">
        <v>150860</v>
      </c>
      <c r="J40" s="15" t="n">
        <v>179530</v>
      </c>
      <c r="K40" s="15" t="n">
        <v>212190</v>
      </c>
    </row>
    <row r="42">
      <c r="A42" s="6" t="inlineStr">
        <is>
          <t>KEY BALANCE-SHEET METRICS</t>
        </is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</row>
    <row r="43">
      <c r="A43" s="19" t="inlineStr">
        <is>
          <t>Total debt</t>
        </is>
      </c>
      <c r="B43" s="20" t="n">
        <v>6765</v>
      </c>
      <c r="C43" s="20" t="n">
        <v>6906</v>
      </c>
      <c r="D43" s="20" t="n">
        <v>12779</v>
      </c>
      <c r="E43" s="20" t="n">
        <v>13785</v>
      </c>
      <c r="F43" s="20" t="n">
        <v>14478</v>
      </c>
      <c r="G43" s="21" t="n">
        <v>13550</v>
      </c>
      <c r="H43" s="21" t="n">
        <v>13150</v>
      </c>
      <c r="I43" s="21" t="n">
        <v>12750</v>
      </c>
      <c r="J43" s="21" t="n">
        <v>11150</v>
      </c>
      <c r="K43" s="21" t="n">
        <v>10050</v>
      </c>
    </row>
    <row r="44">
      <c r="A44" s="19" t="inlineStr">
        <is>
          <t>Net debt (cash)</t>
        </is>
      </c>
      <c r="B44" s="20" t="n">
        <v>-1896</v>
      </c>
      <c r="C44" s="20" t="n">
        <v>-2425</v>
      </c>
      <c r="D44" s="20" t="n">
        <v>3607</v>
      </c>
      <c r="E44" s="20" t="n">
        <v>5664</v>
      </c>
      <c r="F44" s="20" t="n">
        <v>2467</v>
      </c>
      <c r="G44" s="21" t="n">
        <v>-9350</v>
      </c>
      <c r="H44" s="21" t="n">
        <v>-18950</v>
      </c>
      <c r="I44" s="21" t="n">
        <v>-30150</v>
      </c>
      <c r="J44" s="21" t="n">
        <v>-42250</v>
      </c>
      <c r="K44" s="21" t="n">
        <v>-54450</v>
      </c>
    </row>
    <row r="45">
      <c r="A45" s="19" t="inlineStr">
        <is>
          <t>Debt / Equity</t>
        </is>
      </c>
      <c r="B45" s="28" t="n">
        <v>0.1919421194495673</v>
      </c>
      <c r="C45" s="28" t="n">
        <v>0.1662894293281965</v>
      </c>
      <c r="D45" s="28" t="n">
        <v>0.3480119825708061</v>
      </c>
      <c r="E45" s="28" t="n">
        <v>0.3625723303524461</v>
      </c>
      <c r="F45" s="28" t="n">
        <v>0.3210911510312708</v>
      </c>
      <c r="G45" s="29" t="n">
        <v>0.1936267505001429</v>
      </c>
      <c r="H45" s="29" t="n">
        <v>0.1324003221908981</v>
      </c>
      <c r="I45" s="29" t="n">
        <v>0.1041581570133159</v>
      </c>
      <c r="J45" s="29" t="n">
        <v>0.07370438921205712</v>
      </c>
      <c r="K45" s="29" t="n">
        <v>0.05478630614914959</v>
      </c>
    </row>
    <row r="46">
      <c r="A46" s="19" t="inlineStr">
        <is>
          <t>Current ratio</t>
        </is>
      </c>
      <c r="B46" s="28" t="n">
        <v>3.598582591313829</v>
      </c>
      <c r="C46" s="28" t="n">
        <v>3.299863904430667</v>
      </c>
      <c r="D46" s="28" t="n">
        <v>3.501951600312256</v>
      </c>
      <c r="E46" s="28" t="n">
        <v>2.766188497117576</v>
      </c>
      <c r="F46" s="28" t="n">
        <v>2.904336374753081</v>
      </c>
      <c r="G46" s="29" t="n">
        <v>3.603174603174603</v>
      </c>
      <c r="H46" s="29" t="n">
        <v>4.16546762589928</v>
      </c>
      <c r="I46" s="29" t="n">
        <v>4.992537313432836</v>
      </c>
      <c r="J46" s="29" t="n">
        <v>5.442176870748299</v>
      </c>
      <c r="K46" s="29" t="n">
        <v>5.790123456790123</v>
      </c>
    </row>
    <row r="49">
      <c r="A49" s="2" t="inlineStr">
        <is>
          <t>Sources: Micron 10-K FY2025 Consolidated Balance Sheet. Includes ROU lease assets in PP&amp;E line.</t>
        </is>
      </c>
    </row>
  </sheetData>
  <mergeCells count="3">
    <mergeCell ref="A49:K49"/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Micron Technology — Bull / Base / Bear Scenarios</t>
        </is>
      </c>
    </row>
    <row r="2">
      <c r="A2" s="2" t="inlineStr">
        <is>
          <t>All figures in $millions except per-share and percentages. Scenarios reflect FY2026E-FY2030E. Base case = Income Statement projections.</t>
        </is>
      </c>
    </row>
    <row r="4">
      <c r="A4" s="3" t="inlineStr">
        <is>
          <t>Metric</t>
        </is>
      </c>
      <c r="B4" s="30" t="inlineStr">
        <is>
          <t>FY2025A</t>
        </is>
      </c>
      <c r="C4" s="31" t="inlineStr">
        <is>
          <t>BULL FY26E</t>
        </is>
      </c>
      <c r="D4" s="31" t="inlineStr">
        <is>
          <t>BULL FY27E</t>
        </is>
      </c>
      <c r="E4" s="31" t="inlineStr">
        <is>
          <t>BULL FY30E</t>
        </is>
      </c>
      <c r="F4" s="32" t="inlineStr">
        <is>
          <t>BASE FY26E</t>
        </is>
      </c>
      <c r="G4" s="32" t="inlineStr">
        <is>
          <t>BASE FY27E</t>
        </is>
      </c>
      <c r="H4" s="32" t="inlineStr">
        <is>
          <t>BASE FY30E</t>
        </is>
      </c>
      <c r="I4" s="33" t="inlineStr">
        <is>
          <t>BEAR FY26E</t>
        </is>
      </c>
      <c r="J4" s="33" t="inlineStr">
        <is>
          <t>BEAR FY27E</t>
        </is>
      </c>
      <c r="K4" s="33" t="inlineStr">
        <is>
          <t>BEAR FY30E</t>
        </is>
      </c>
    </row>
    <row r="5">
      <c r="A5" s="6" t="inlineStr">
        <is>
          <t>KEY ASSUMPTIONS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</row>
    <row r="6">
      <c r="A6" s="19" t="inlineStr">
        <is>
          <t>HBM revenue</t>
        </is>
      </c>
      <c r="B6" s="20" t="n">
        <v>7100</v>
      </c>
      <c r="C6" s="34" t="n">
        <v>26000</v>
      </c>
      <c r="D6" s="34" t="n">
        <v>35000</v>
      </c>
      <c r="E6" s="34" t="n">
        <v>38000</v>
      </c>
      <c r="F6" s="21" t="n">
        <v>21500</v>
      </c>
      <c r="G6" s="21" t="n">
        <v>28000</v>
      </c>
      <c r="H6" s="21" t="n">
        <v>26000</v>
      </c>
      <c r="I6" s="35" t="n">
        <v>16500</v>
      </c>
      <c r="J6" s="35" t="n">
        <v>18000</v>
      </c>
      <c r="K6" s="35" t="n">
        <v>12000</v>
      </c>
    </row>
    <row r="7">
      <c r="A7" s="19" t="inlineStr">
        <is>
          <t>DRAM blended ASP growth YoY</t>
        </is>
      </c>
      <c r="B7" s="36" t="n">
        <v>0.4</v>
      </c>
      <c r="C7" s="37" t="n">
        <v>0.45</v>
      </c>
      <c r="D7" s="37" t="n">
        <v>0.18</v>
      </c>
      <c r="E7" s="37" t="n">
        <v>0.05</v>
      </c>
      <c r="F7" s="38" t="n">
        <v>0.35</v>
      </c>
      <c r="G7" s="38" t="n">
        <v>0.05</v>
      </c>
      <c r="H7" s="38" t="n">
        <v>0.05</v>
      </c>
      <c r="I7" s="39" t="n">
        <v>0.2</v>
      </c>
      <c r="J7" s="39" t="n">
        <v>0.2</v>
      </c>
      <c r="K7" s="39" t="n">
        <v>0.1</v>
      </c>
    </row>
    <row r="8">
      <c r="A8" s="19" t="inlineStr">
        <is>
          <t>DRAM bit shipment growth YoY</t>
        </is>
      </c>
      <c r="B8" s="36" t="n">
        <v>0.18</v>
      </c>
      <c r="C8" s="37" t="n">
        <v>0.3</v>
      </c>
      <c r="D8" s="37" t="n">
        <v>0.28</v>
      </c>
      <c r="E8" s="37" t="n">
        <v>0.22</v>
      </c>
      <c r="F8" s="38" t="n">
        <v>0.25</v>
      </c>
      <c r="G8" s="38" t="n">
        <v>0.2</v>
      </c>
      <c r="H8" s="38" t="n">
        <v>0.16</v>
      </c>
      <c r="I8" s="39" t="n">
        <v>0.18</v>
      </c>
      <c r="J8" s="39" t="n">
        <v>0.12</v>
      </c>
      <c r="K8" s="39" t="n">
        <v>0.08</v>
      </c>
    </row>
    <row r="9">
      <c r="A9" s="19" t="inlineStr">
        <is>
          <t>NAND blended ASP growth YoY</t>
        </is>
      </c>
      <c r="B9" s="36" t="n">
        <v>0.2</v>
      </c>
      <c r="C9" s="37" t="n">
        <v>0.2</v>
      </c>
      <c r="D9" s="37" t="n">
        <v>0.12</v>
      </c>
      <c r="E9" s="37" t="n">
        <v>0.04</v>
      </c>
      <c r="F9" s="38" t="n">
        <v>0.12</v>
      </c>
      <c r="G9" s="38" t="n">
        <v>0.05</v>
      </c>
      <c r="H9" s="38" t="n">
        <v>0.05</v>
      </c>
      <c r="I9" s="39" t="n">
        <v>0.05</v>
      </c>
      <c r="J9" s="39" t="n">
        <v>0.2</v>
      </c>
      <c r="K9" s="39" t="n">
        <v>0.1</v>
      </c>
    </row>
    <row r="10">
      <c r="A10" s="6" t="inlineStr">
        <is>
          <t>REVENUE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</row>
    <row r="11">
      <c r="A11" s="19" t="inlineStr">
        <is>
          <t>Total revenue ($M)</t>
        </is>
      </c>
      <c r="B11" s="20" t="n">
        <v>37378</v>
      </c>
      <c r="C11" s="34" t="n">
        <v>62000</v>
      </c>
      <c r="D11" s="34" t="n">
        <v>75000</v>
      </c>
      <c r="E11" s="34" t="n">
        <v>90000</v>
      </c>
      <c r="F11" s="21" t="n">
        <v>54710</v>
      </c>
      <c r="G11" s="21" t="n">
        <v>62625</v>
      </c>
      <c r="H11" s="21" t="n">
        <v>70880</v>
      </c>
      <c r="I11" s="35" t="n">
        <v>48000</v>
      </c>
      <c r="J11" s="35" t="n">
        <v>45000</v>
      </c>
      <c r="K11" s="35" t="n">
        <v>50000</v>
      </c>
    </row>
    <row r="12">
      <c r="A12" s="6" t="inlineStr">
        <is>
          <t>PROFITABILITY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</row>
    <row r="13">
      <c r="A13" s="19" t="inlineStr">
        <is>
          <t>Gross margin %</t>
        </is>
      </c>
      <c r="B13" s="36" t="n">
        <v>0.4</v>
      </c>
      <c r="C13" s="37" t="n">
        <v>0.66</v>
      </c>
      <c r="D13" s="37" t="n">
        <v>0.62</v>
      </c>
      <c r="E13" s="37" t="n">
        <v>0.55</v>
      </c>
      <c r="F13" s="38" t="n">
        <v>0.61</v>
      </c>
      <c r="G13" s="38" t="n">
        <v>0.62</v>
      </c>
      <c r="H13" s="38" t="n">
        <v>0.575</v>
      </c>
      <c r="I13" s="39" t="n">
        <v>0.5</v>
      </c>
      <c r="J13" s="39" t="n">
        <v>0.32</v>
      </c>
      <c r="K13" s="39" t="n">
        <v>0.28</v>
      </c>
    </row>
    <row r="14">
      <c r="A14" s="19" t="inlineStr">
        <is>
          <t>Operating margin %</t>
        </is>
      </c>
      <c r="B14" s="36" t="n">
        <v>0.26</v>
      </c>
      <c r="C14" s="37" t="n">
        <v>0.55</v>
      </c>
      <c r="D14" s="37" t="n">
        <v>0.51</v>
      </c>
      <c r="E14" s="37" t="n">
        <v>0.44</v>
      </c>
      <c r="F14" s="38" t="n">
        <v>0.49</v>
      </c>
      <c r="G14" s="38" t="n">
        <v>0.5</v>
      </c>
      <c r="H14" s="38" t="n">
        <v>0.45</v>
      </c>
      <c r="I14" s="39" t="n">
        <v>0.36</v>
      </c>
      <c r="J14" s="39" t="n">
        <v>0.16</v>
      </c>
      <c r="K14" s="39" t="n">
        <v>0.12</v>
      </c>
    </row>
    <row r="15">
      <c r="A15" s="19" t="inlineStr">
        <is>
          <t>Operating income ($M)</t>
        </is>
      </c>
      <c r="B15" s="20" t="n">
        <v>9774</v>
      </c>
      <c r="C15" s="34" t="n">
        <v>34100</v>
      </c>
      <c r="D15" s="34" t="n">
        <v>38250</v>
      </c>
      <c r="E15" s="34" t="n">
        <v>39600</v>
      </c>
      <c r="F15" s="21" t="n">
        <v>26781</v>
      </c>
      <c r="G15" s="21" t="n">
        <v>31325</v>
      </c>
      <c r="H15" s="21" t="n">
        <v>31930</v>
      </c>
      <c r="I15" s="35" t="n">
        <v>17280</v>
      </c>
      <c r="J15" s="35" t="n">
        <v>7200</v>
      </c>
      <c r="K15" s="35" t="n">
        <v>6000</v>
      </c>
    </row>
    <row r="16">
      <c r="A16" s="19" t="inlineStr">
        <is>
          <t>Net income ($M)</t>
        </is>
      </c>
      <c r="B16" s="20" t="n">
        <v>8539</v>
      </c>
      <c r="C16" s="34" t="n">
        <v>28200</v>
      </c>
      <c r="D16" s="34" t="n">
        <v>32000</v>
      </c>
      <c r="E16" s="34" t="n">
        <v>33000</v>
      </c>
      <c r="F16" s="21" t="n">
        <v>25460</v>
      </c>
      <c r="G16" s="21" t="n">
        <v>28890</v>
      </c>
      <c r="H16" s="21" t="n">
        <v>30000</v>
      </c>
      <c r="I16" s="35" t="n">
        <v>13500</v>
      </c>
      <c r="J16" s="35" t="n">
        <v>5000</v>
      </c>
      <c r="K16" s="35" t="n">
        <v>4000</v>
      </c>
    </row>
    <row r="17">
      <c r="A17" s="19" t="inlineStr">
        <is>
          <t>Diluted EPS ($)</t>
        </is>
      </c>
      <c r="B17" s="24" t="n">
        <v>7.55</v>
      </c>
      <c r="C17" s="40" t="n">
        <v>25</v>
      </c>
      <c r="D17" s="40" t="n">
        <v>28.5</v>
      </c>
      <c r="E17" s="40" t="n">
        <v>30</v>
      </c>
      <c r="F17" s="25" t="n">
        <v>22.5</v>
      </c>
      <c r="G17" s="25" t="n">
        <v>25.5</v>
      </c>
      <c r="H17" s="25" t="n">
        <v>27</v>
      </c>
      <c r="I17" s="41" t="n">
        <v>12</v>
      </c>
      <c r="J17" s="41" t="n">
        <v>4.5</v>
      </c>
      <c r="K17" s="41" t="n">
        <v>3.6</v>
      </c>
    </row>
    <row r="18">
      <c r="A18" s="6" t="inlineStr">
        <is>
          <t>CASH FLOW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</row>
    <row r="19">
      <c r="A19" s="19" t="inlineStr">
        <is>
          <t>Operating cash flow ($M)</t>
        </is>
      </c>
      <c r="B19" s="20" t="n">
        <v>17530</v>
      </c>
      <c r="C19" s="34" t="n">
        <v>32000</v>
      </c>
      <c r="D19" s="34" t="n">
        <v>36000</v>
      </c>
      <c r="E19" s="34" t="n">
        <v>42000</v>
      </c>
      <c r="F19" s="21" t="n">
        <v>27680</v>
      </c>
      <c r="G19" s="21" t="n">
        <v>28850</v>
      </c>
      <c r="H19" s="21" t="n">
        <v>32400</v>
      </c>
      <c r="I19" s="35" t="n">
        <v>21500</v>
      </c>
      <c r="J19" s="35" t="n">
        <v>14000</v>
      </c>
      <c r="K19" s="35" t="n">
        <v>13000</v>
      </c>
    </row>
    <row r="20">
      <c r="A20" s="19" t="inlineStr">
        <is>
          <t>Capex ($M)</t>
        </is>
      </c>
      <c r="B20" s="20" t="n">
        <v>15864</v>
      </c>
      <c r="C20" s="34" t="n">
        <v>20000</v>
      </c>
      <c r="D20" s="34" t="n">
        <v>18000</v>
      </c>
      <c r="E20" s="34" t="n">
        <v>16000</v>
      </c>
      <c r="F20" s="21" t="n">
        <v>17500</v>
      </c>
      <c r="G20" s="21" t="n">
        <v>16000</v>
      </c>
      <c r="H20" s="21" t="n">
        <v>15500</v>
      </c>
      <c r="I20" s="35" t="n">
        <v>16000</v>
      </c>
      <c r="J20" s="35" t="n">
        <v>12000</v>
      </c>
      <c r="K20" s="35" t="n">
        <v>9000</v>
      </c>
    </row>
    <row r="21">
      <c r="A21" s="19" t="inlineStr">
        <is>
          <t>Free cash flow ($M)</t>
        </is>
      </c>
      <c r="B21" s="20" t="n">
        <v>1666</v>
      </c>
      <c r="C21" s="34" t="n">
        <v>12000</v>
      </c>
      <c r="D21" s="34" t="n">
        <v>18000</v>
      </c>
      <c r="E21" s="34" t="n">
        <v>26000</v>
      </c>
      <c r="F21" s="21" t="n">
        <v>10180</v>
      </c>
      <c r="G21" s="21" t="n">
        <v>12850</v>
      </c>
      <c r="H21" s="21" t="n">
        <v>16900</v>
      </c>
      <c r="I21" s="35" t="n">
        <v>5500</v>
      </c>
      <c r="J21" s="35" t="n">
        <v>2000</v>
      </c>
      <c r="K21" s="35" t="n">
        <v>4000</v>
      </c>
    </row>
    <row r="22">
      <c r="A22" s="6" t="inlineStr">
        <is>
          <t>VALUATION (implied price target)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</row>
    <row r="23">
      <c r="A23" s="19" t="inlineStr">
        <is>
          <t>Forward EPS multiple</t>
        </is>
      </c>
      <c r="B23" s="42" t="n">
        <v>0</v>
      </c>
      <c r="C23" s="43" t="n">
        <v>38</v>
      </c>
      <c r="D23" s="43" t="n">
        <v>28</v>
      </c>
      <c r="E23" s="43" t="n">
        <v>20</v>
      </c>
      <c r="F23" s="44" t="n">
        <v>40</v>
      </c>
      <c r="G23" s="44" t="n">
        <v>32</v>
      </c>
      <c r="H23" s="44" t="n">
        <v>22</v>
      </c>
      <c r="I23" s="45" t="n">
        <v>35</v>
      </c>
      <c r="J23" s="45" t="n">
        <v>25</v>
      </c>
      <c r="K23" s="45" t="n">
        <v>15</v>
      </c>
    </row>
    <row r="24">
      <c r="A24" s="19" t="inlineStr">
        <is>
          <t>Implied price target ($)</t>
        </is>
      </c>
      <c r="B24" s="46" t="n">
        <v>727</v>
      </c>
      <c r="C24" s="47" t="n">
        <v>950</v>
      </c>
      <c r="D24" s="47" t="n">
        <v>800</v>
      </c>
      <c r="E24" s="47" t="n">
        <v>600</v>
      </c>
      <c r="F24" s="48" t="n">
        <v>900</v>
      </c>
      <c r="G24" s="48" t="n">
        <v>815</v>
      </c>
      <c r="H24" s="48" t="n">
        <v>594</v>
      </c>
      <c r="I24" s="49" t="n">
        <v>420</v>
      </c>
      <c r="J24" s="49" t="n">
        <v>113</v>
      </c>
      <c r="K24" s="49" t="n">
        <v>54</v>
      </c>
    </row>
    <row r="25">
      <c r="A25" s="11" t="inlineStr">
        <is>
          <t>vs. current price $727.42</t>
        </is>
      </c>
      <c r="B25" s="50" t="inlineStr"/>
      <c r="C25" s="52" t="n"/>
      <c r="D25" s="52" t="n"/>
      <c r="E25" s="52" t="n"/>
      <c r="F25" s="52" t="n"/>
      <c r="G25" s="52" t="n"/>
      <c r="H25" s="52" t="n"/>
      <c r="I25" s="52" t="n"/>
      <c r="J25" s="52" t="n"/>
      <c r="K25" s="53" t="n"/>
    </row>
    <row r="27">
      <c r="A27" s="6" t="inlineStr">
        <is>
          <t>SCENARIO PROBABILITY WEIGHTING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</row>
    <row r="28">
      <c r="A28" s="19" t="inlineStr">
        <is>
          <t>Bull case probability:</t>
        </is>
      </c>
      <c r="B28" s="51" t="n">
        <v>0.25</v>
      </c>
      <c r="C28" s="11" t="inlineStr">
        <is>
          <t>AI super-cycle through FY28; HBM4/4E share gains; consolidation discipline</t>
        </is>
      </c>
      <c r="D28" s="52" t="n"/>
      <c r="E28" s="52" t="n"/>
      <c r="F28" s="52" t="n"/>
      <c r="G28" s="52" t="n"/>
      <c r="H28" s="52" t="n"/>
      <c r="I28" s="52" t="n"/>
      <c r="J28" s="52" t="n"/>
      <c r="K28" s="53" t="n"/>
    </row>
    <row r="29">
      <c r="A29" s="19" t="inlineStr">
        <is>
          <t>Base case probability:</t>
        </is>
      </c>
      <c r="B29" s="51" t="n">
        <v>0.5</v>
      </c>
      <c r="C29" s="11" t="inlineStr">
        <is>
          <t>Strong FY26-27, moderation FY28-29, recovery FY30; HBM holds; commodity normalizes</t>
        </is>
      </c>
      <c r="D29" s="52" t="n"/>
      <c r="E29" s="52" t="n"/>
      <c r="F29" s="52" t="n"/>
      <c r="G29" s="52" t="n"/>
      <c r="H29" s="52" t="n"/>
      <c r="I29" s="52" t="n"/>
      <c r="J29" s="52" t="n"/>
      <c r="K29" s="53" t="n"/>
    </row>
    <row r="30">
      <c r="A30" s="19" t="inlineStr">
        <is>
          <t>Bear case probability:</t>
        </is>
      </c>
      <c r="B30" s="51" t="n">
        <v>0.25</v>
      </c>
      <c r="C30" s="11" t="inlineStr">
        <is>
          <t>AI capex decel in 2H26; CXMT commodity ramp; HBM ASP correction</t>
        </is>
      </c>
      <c r="D30" s="52" t="n"/>
      <c r="E30" s="52" t="n"/>
      <c r="F30" s="52" t="n"/>
      <c r="G30" s="52" t="n"/>
      <c r="H30" s="52" t="n"/>
      <c r="I30" s="52" t="n"/>
      <c r="J30" s="52" t="n"/>
      <c r="K30" s="53" t="n"/>
    </row>
    <row r="32">
      <c r="A32" s="14" t="inlineStr">
        <is>
          <t>PROBABILITY-WEIGHTED 12M PRICE TARGET</t>
        </is>
      </c>
      <c r="B32" s="54" t="n">
        <v>792.5</v>
      </c>
      <c r="C32" s="11">
        <f> 0.25×$950 (Bull) + 0.50×$900 (Base) + 0.25×$420 (Bear)</f>
        <v/>
      </c>
      <c r="D32" s="52" t="n"/>
      <c r="E32" s="52" t="n"/>
      <c r="F32" s="52" t="n"/>
      <c r="G32" s="52" t="n"/>
      <c r="H32" s="52" t="n"/>
      <c r="I32" s="52" t="n"/>
      <c r="J32" s="52" t="n"/>
      <c r="K32" s="53" t="n"/>
    </row>
  </sheetData>
  <mergeCells count="7">
    <mergeCell ref="C30:K30"/>
    <mergeCell ref="A2:L2"/>
    <mergeCell ref="C28:K28"/>
    <mergeCell ref="A1:L1"/>
    <mergeCell ref="B25:K25"/>
    <mergeCell ref="C32:K32"/>
    <mergeCell ref="C29:K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4" customHeight="1">
      <c r="A1" s="1" t="inlineStr">
        <is>
          <t>Micron Technology — DCF Inputs (Unlevered Free Cash Flow Build)</t>
        </is>
      </c>
    </row>
    <row r="2">
      <c r="A2" s="2" t="inlineStr">
        <is>
          <t>All figures in $millions. Mid-year convention. FY ends August.</t>
        </is>
      </c>
    </row>
    <row r="4">
      <c r="A4" s="3" t="inlineStr">
        <is>
          <t>($ in millions)</t>
        </is>
      </c>
      <c r="B4" s="4" t="inlineStr">
        <is>
          <t>FY2021A</t>
        </is>
      </c>
      <c r="C4" s="4" t="inlineStr">
        <is>
          <t>FY2022A</t>
        </is>
      </c>
      <c r="D4" s="4" t="inlineStr">
        <is>
          <t>FY2023A</t>
        </is>
      </c>
      <c r="E4" s="4" t="inlineStr">
        <is>
          <t>FY2024A</t>
        </is>
      </c>
      <c r="F4" s="4" t="inlineStr">
        <is>
          <t>FY2025A</t>
        </is>
      </c>
      <c r="G4" s="5" t="inlineStr">
        <is>
          <t>FY2026E</t>
        </is>
      </c>
      <c r="H4" s="5" t="inlineStr">
        <is>
          <t>FY2027E</t>
        </is>
      </c>
      <c r="I4" s="5" t="inlineStr">
        <is>
          <t>FY2028E</t>
        </is>
      </c>
      <c r="J4" s="5" t="inlineStr">
        <is>
          <t>FY2029E</t>
        </is>
      </c>
      <c r="K4" s="5" t="inlineStr">
        <is>
          <t>FY2030E</t>
        </is>
      </c>
    </row>
    <row r="5">
      <c r="A5" s="6" t="inlineStr">
        <is>
          <t>UNLEVERED FCF (UFCF) BUILD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</row>
    <row r="6">
      <c r="A6" s="19" t="inlineStr">
        <is>
          <t>Revenue</t>
        </is>
      </c>
      <c r="B6" s="20" t="n">
        <v>27705</v>
      </c>
      <c r="C6" s="20" t="n">
        <v>30758</v>
      </c>
      <c r="D6" s="20" t="n">
        <v>15540</v>
      </c>
      <c r="E6" s="20" t="n">
        <v>25111</v>
      </c>
      <c r="F6" s="20" t="n">
        <v>37378</v>
      </c>
      <c r="G6" s="21" t="n">
        <v>54710</v>
      </c>
      <c r="H6" s="21" t="n">
        <v>62625</v>
      </c>
      <c r="I6" s="21" t="n">
        <v>58840</v>
      </c>
      <c r="J6" s="21" t="n">
        <v>64860</v>
      </c>
      <c r="K6" s="21" t="n">
        <v>70880</v>
      </c>
    </row>
    <row r="7">
      <c r="A7" s="19" t="inlineStr">
        <is>
          <t>EBIT (operating income)</t>
        </is>
      </c>
      <c r="B7" s="20" t="n">
        <v>6821</v>
      </c>
      <c r="C7" s="20" t="n">
        <v>9751</v>
      </c>
      <c r="D7" s="20" t="n">
        <v>-6371</v>
      </c>
      <c r="E7" s="20" t="n">
        <v>989</v>
      </c>
      <c r="F7" s="20" t="n">
        <v>9447</v>
      </c>
      <c r="G7" s="21" t="n">
        <v>26780</v>
      </c>
      <c r="H7" s="21" t="n">
        <v>31625</v>
      </c>
      <c r="I7" s="21" t="n">
        <v>24940</v>
      </c>
      <c r="J7" s="21" t="n">
        <v>28810</v>
      </c>
      <c r="K7" s="21" t="n">
        <v>32330</v>
      </c>
    </row>
    <row r="8">
      <c r="A8" s="11" t="inlineStr">
        <is>
          <t xml:space="preserve">  EBIT margin %</t>
        </is>
      </c>
      <c r="B8" s="17" t="n">
        <v>0.2462010467424653</v>
      </c>
      <c r="C8" s="17" t="n">
        <v>0.3170232134729176</v>
      </c>
      <c r="D8" s="17" t="n">
        <v>-0.40997425997426</v>
      </c>
      <c r="E8" s="17" t="n">
        <v>0.03938513002269921</v>
      </c>
      <c r="F8" s="17" t="n">
        <v>0.2527422548022901</v>
      </c>
      <c r="G8" s="18" t="n">
        <v>0.4894900383842076</v>
      </c>
      <c r="H8" s="18" t="n">
        <v>0.5049900199600799</v>
      </c>
      <c r="I8" s="18" t="n">
        <v>0.4238613188307274</v>
      </c>
      <c r="J8" s="18" t="n">
        <v>0.4441874807277212</v>
      </c>
      <c r="K8" s="18" t="n">
        <v>0.4561230248306998</v>
      </c>
    </row>
    <row r="9">
      <c r="A9" s="11" t="inlineStr">
        <is>
          <t>DCF tax rate (normalized)</t>
        </is>
      </c>
      <c r="B9" s="17" t="n">
        <v>0.1</v>
      </c>
      <c r="C9" s="17" t="n">
        <v>0.12</v>
      </c>
      <c r="D9" s="17" t="n">
        <v>0.1</v>
      </c>
      <c r="E9" s="17" t="n">
        <v>0.12</v>
      </c>
      <c r="F9" s="17" t="n">
        <v>0.12</v>
      </c>
      <c r="G9" s="18" t="n">
        <v>0.13</v>
      </c>
      <c r="H9" s="18" t="n">
        <v>0.13</v>
      </c>
      <c r="I9" s="18" t="n">
        <v>0.13</v>
      </c>
      <c r="J9" s="18" t="n">
        <v>0.13</v>
      </c>
      <c r="K9" s="18" t="n">
        <v>0.13</v>
      </c>
    </row>
    <row r="10">
      <c r="A10" s="8" t="inlineStr">
        <is>
          <t>NOPAT (EBIT × (1-t))</t>
        </is>
      </c>
      <c r="B10" s="22" t="n">
        <v>6138.900000000001</v>
      </c>
      <c r="C10" s="22" t="n">
        <v>8580.879999999999</v>
      </c>
      <c r="D10" s="22" t="n">
        <v>-5733.900000000001</v>
      </c>
      <c r="E10" s="22" t="n">
        <v>870.3200000000001</v>
      </c>
      <c r="F10" s="22" t="n">
        <v>8313.360000000001</v>
      </c>
      <c r="G10" s="23" t="n">
        <v>23298.6</v>
      </c>
      <c r="H10" s="23" t="n">
        <v>27513.75</v>
      </c>
      <c r="I10" s="23" t="n">
        <v>21697.8</v>
      </c>
      <c r="J10" s="23" t="n">
        <v>25064.7</v>
      </c>
      <c r="K10" s="23" t="n">
        <v>28127.1</v>
      </c>
    </row>
    <row r="11">
      <c r="A11" s="19" t="inlineStr">
        <is>
          <t xml:space="preserve">  Plus: D&amp;A</t>
        </is>
      </c>
      <c r="B11" s="20" t="n">
        <v>5569</v>
      </c>
      <c r="C11" s="20" t="n">
        <v>5888</v>
      </c>
      <c r="D11" s="20" t="n">
        <v>7432</v>
      </c>
      <c r="E11" s="20" t="n">
        <v>7587</v>
      </c>
      <c r="F11" s="20" t="n">
        <v>8165</v>
      </c>
      <c r="G11" s="21" t="n">
        <v>9500</v>
      </c>
      <c r="H11" s="21" t="n">
        <v>11000</v>
      </c>
      <c r="I11" s="21" t="n">
        <v>12500</v>
      </c>
      <c r="J11" s="21" t="n">
        <v>13500</v>
      </c>
      <c r="K11" s="21" t="n">
        <v>14500</v>
      </c>
    </row>
    <row r="12">
      <c r="A12" s="19" t="inlineStr">
        <is>
          <t xml:space="preserve">  Less: Capital expenditures</t>
        </is>
      </c>
      <c r="B12" s="20" t="n">
        <v>-9696</v>
      </c>
      <c r="C12" s="20" t="n">
        <v>-11481</v>
      </c>
      <c r="D12" s="20" t="n">
        <v>-7676</v>
      </c>
      <c r="E12" s="20" t="n">
        <v>-8386</v>
      </c>
      <c r="F12" s="20" t="n">
        <v>-15864</v>
      </c>
      <c r="G12" s="21" t="n">
        <v>-17500</v>
      </c>
      <c r="H12" s="21" t="n">
        <v>-16000</v>
      </c>
      <c r="I12" s="21" t="n">
        <v>-14500</v>
      </c>
      <c r="J12" s="21" t="n">
        <v>-15000</v>
      </c>
      <c r="K12" s="21" t="n">
        <v>-15500</v>
      </c>
    </row>
    <row r="13">
      <c r="A13" s="19" t="inlineStr">
        <is>
          <t xml:space="preserve">  Less: Change in working capital</t>
        </is>
      </c>
      <c r="B13" s="20" t="n">
        <v>-606</v>
      </c>
      <c r="C13" s="20" t="n">
        <v>-197</v>
      </c>
      <c r="D13" s="20" t="n">
        <v>1961</v>
      </c>
      <c r="E13" s="20" t="n">
        <v>-1788</v>
      </c>
      <c r="F13" s="20" t="n">
        <v>-3006</v>
      </c>
      <c r="G13" s="21" t="n">
        <v>-1764</v>
      </c>
      <c r="H13" s="21" t="n">
        <v>-2100</v>
      </c>
      <c r="I13" s="21" t="n">
        <v>1100</v>
      </c>
      <c r="J13" s="21" t="n">
        <v>-1400</v>
      </c>
      <c r="K13" s="21" t="n">
        <v>-1300</v>
      </c>
    </row>
    <row r="14">
      <c r="A14" s="8" t="inlineStr">
        <is>
          <t>UNLEVERED FREE CASH FLOW</t>
        </is>
      </c>
      <c r="B14" s="15" t="n">
        <v>1405.900000000001</v>
      </c>
      <c r="C14" s="15" t="n">
        <v>2790.879999999999</v>
      </c>
      <c r="D14" s="15" t="n">
        <v>-4016.900000000001</v>
      </c>
      <c r="E14" s="15" t="n">
        <v>-1716.68</v>
      </c>
      <c r="F14" s="15" t="n">
        <v>-2391.639999999999</v>
      </c>
      <c r="G14" s="15" t="n">
        <v>13534.6</v>
      </c>
      <c r="H14" s="15" t="n">
        <v>20413.75</v>
      </c>
      <c r="I14" s="15" t="n">
        <v>20797.8</v>
      </c>
      <c r="J14" s="15" t="n">
        <v>22164.7</v>
      </c>
      <c r="K14" s="15" t="n">
        <v>25827.1</v>
      </c>
    </row>
    <row r="16">
      <c r="A16" s="6" t="inlineStr">
        <is>
          <t>DCF ASSUMPTIONS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</row>
    <row r="17">
      <c r="A17" s="19" t="inlineStr">
        <is>
          <t>Risk-free rate (10Y UST, 2026-05-20)</t>
        </is>
      </c>
      <c r="B17" s="55" t="n">
        <v>0.0425</v>
      </c>
    </row>
    <row r="18">
      <c r="A18" s="19" t="inlineStr">
        <is>
          <t>Equity risk premium</t>
        </is>
      </c>
      <c r="B18" s="55" t="n">
        <v>0.055</v>
      </c>
    </row>
    <row r="19">
      <c r="A19" s="19" t="inlineStr">
        <is>
          <t>Beta (2Y, MU per Yahoo Finance)</t>
        </is>
      </c>
      <c r="B19" s="56" t="n">
        <v>1.35</v>
      </c>
    </row>
    <row r="20">
      <c r="A20" s="8" t="inlineStr">
        <is>
          <t>Cost of equity (CAPM)</t>
        </is>
      </c>
      <c r="B20" s="57" t="n">
        <v>0.11675</v>
      </c>
    </row>
    <row r="21">
      <c r="A21" s="19" t="inlineStr">
        <is>
          <t>After-tax cost of debt</t>
        </is>
      </c>
      <c r="B21" s="55" t="n">
        <v>0.045</v>
      </c>
    </row>
    <row r="22">
      <c r="A22" s="19" t="inlineStr">
        <is>
          <t>Target debt / total capital</t>
        </is>
      </c>
      <c r="B22" s="38" t="n">
        <v>0.15</v>
      </c>
    </row>
    <row r="23">
      <c r="A23" s="14" t="inlineStr">
        <is>
          <t>WACC (calculated)</t>
        </is>
      </c>
      <c r="B23" s="58" t="n">
        <v>0.1059875</v>
      </c>
    </row>
    <row r="24">
      <c r="A24" s="19" t="inlineStr">
        <is>
          <t>Terminal growth rate</t>
        </is>
      </c>
      <c r="B24" s="55" t="n">
        <v>0.03</v>
      </c>
    </row>
    <row r="25">
      <c r="A25" s="19" t="inlineStr">
        <is>
          <t>Terminal EBITDA multiple (exit)</t>
        </is>
      </c>
      <c r="B25" s="44" t="n">
        <v>8</v>
      </c>
    </row>
    <row r="27">
      <c r="A27" s="6" t="inlineStr">
        <is>
          <t>CAPITAL STRUCTURE &amp; SHARES (as of 2026-05-20)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</row>
    <row r="28">
      <c r="A28" s="19" t="inlineStr">
        <is>
          <t>Total debt ($M)</t>
        </is>
      </c>
      <c r="B28" s="20" t="n">
        <v>14478</v>
      </c>
    </row>
    <row r="29">
      <c r="A29" s="19" t="inlineStr">
        <is>
          <t>Cash &amp; investments ($M)</t>
        </is>
      </c>
      <c r="B29" s="20" t="n">
        <v>12011</v>
      </c>
    </row>
    <row r="30">
      <c r="A30" s="8" t="inlineStr">
        <is>
          <t>Net debt ($M)</t>
        </is>
      </c>
      <c r="B30" s="59" t="n">
        <v>2467</v>
      </c>
    </row>
    <row r="31">
      <c r="A31" s="19" t="inlineStr">
        <is>
          <t>Diluted shares (millions)</t>
        </is>
      </c>
      <c r="B31" s="20" t="n">
        <v>1131</v>
      </c>
    </row>
    <row r="32">
      <c r="A32" s="19" t="inlineStr">
        <is>
          <t>Current price ($)</t>
        </is>
      </c>
      <c r="B32" s="24" t="n">
        <v>727.42</v>
      </c>
    </row>
    <row r="34">
      <c r="A34" s="6" t="inlineStr">
        <is>
          <t>EBITDA PROJECTIONS (for terminal multiple)</t>
        </is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</row>
    <row r="35">
      <c r="A35" s="8" t="inlineStr">
        <is>
          <t>EBITDA</t>
        </is>
      </c>
      <c r="B35" s="22" t="n">
        <v>12390</v>
      </c>
      <c r="C35" s="22" t="n">
        <v>15639</v>
      </c>
      <c r="D35" s="22" t="n">
        <v>1061</v>
      </c>
      <c r="E35" s="22" t="n">
        <v>8576</v>
      </c>
      <c r="F35" s="22" t="n">
        <v>17612</v>
      </c>
      <c r="G35" s="23" t="n">
        <v>36280</v>
      </c>
      <c r="H35" s="23" t="n">
        <v>42625</v>
      </c>
      <c r="I35" s="23" t="n">
        <v>37440</v>
      </c>
      <c r="J35" s="23" t="n">
        <v>42310</v>
      </c>
      <c r="K35" s="23" t="n">
        <v>46830</v>
      </c>
    </row>
    <row r="36">
      <c r="A36" s="11" t="inlineStr">
        <is>
          <t xml:space="preserve">  EBITDA margin %</t>
        </is>
      </c>
      <c r="B36" s="17" t="n">
        <v>0.4472116946399567</v>
      </c>
      <c r="C36" s="17" t="n">
        <v>0.5084530853761623</v>
      </c>
      <c r="D36" s="17" t="n">
        <v>0.06827541827541828</v>
      </c>
      <c r="E36" s="17" t="n">
        <v>0.3415236350603321</v>
      </c>
      <c r="F36" s="17" t="n">
        <v>0.4711862592969126</v>
      </c>
      <c r="G36" s="18" t="n">
        <v>0.6631328824712118</v>
      </c>
      <c r="H36" s="18" t="n">
        <v>0.6806387225548902</v>
      </c>
      <c r="I36" s="18" t="n">
        <v>0.6363018354860639</v>
      </c>
      <c r="J36" s="18" t="n">
        <v>0.6523280912735122</v>
      </c>
      <c r="K36" s="18" t="n">
        <v>0.6606941309255079</v>
      </c>
    </row>
    <row r="39">
      <c r="A39" s="2" t="inlineStr">
        <is>
          <t>Sources: Income Statement and Cash Flow tabs. Market data from Yahoo Finance MU key statistics retrieved 2026-05-20.</t>
        </is>
      </c>
    </row>
  </sheetData>
  <mergeCells count="3">
    <mergeCell ref="A39:K39"/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Micron Technology — DCF Valuation</t>
        </is>
      </c>
    </row>
    <row r="2">
      <c r="A2" s="2" t="inlineStr">
        <is>
          <t>Two-stage DCF. Stage 1 = explicit 5-year forecast (FY26-30E). Stage 2 = terminal value via Gordon growth + EBITDA exit-multiple cross-check.</t>
        </is>
      </c>
    </row>
    <row r="4">
      <c r="A4" s="6" t="inlineStr">
        <is>
          <t>STEP 1 — UNLEVERED FCF DISCOUNTING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</row>
    <row r="5">
      <c r="A5" s="14" t="inlineStr">
        <is>
          <t>Year</t>
        </is>
      </c>
      <c r="B5" s="60" t="inlineStr">
        <is>
          <t>FY2026E</t>
        </is>
      </c>
      <c r="C5" s="60" t="inlineStr">
        <is>
          <t>FY2027E</t>
        </is>
      </c>
      <c r="D5" s="60" t="inlineStr">
        <is>
          <t>FY2028E</t>
        </is>
      </c>
      <c r="E5" s="60" t="inlineStr">
        <is>
          <t>FY2029E</t>
        </is>
      </c>
      <c r="F5" s="60" t="inlineStr">
        <is>
          <t>FY2030E</t>
        </is>
      </c>
      <c r="G5" s="60" t="inlineStr">
        <is>
          <t>Terminal</t>
        </is>
      </c>
    </row>
    <row r="6">
      <c r="A6" s="19" t="inlineStr">
        <is>
          <t>UFCF ($M)</t>
        </is>
      </c>
      <c r="B6" s="10" t="n">
        <v>13535</v>
      </c>
      <c r="C6" s="10" t="n">
        <v>16290</v>
      </c>
      <c r="D6" s="10" t="n">
        <v>14470</v>
      </c>
      <c r="E6" s="10" t="n">
        <v>17580</v>
      </c>
      <c r="F6" s="10" t="n">
        <v>19440</v>
      </c>
    </row>
    <row r="7">
      <c r="A7" s="19" t="inlineStr">
        <is>
          <t>Discount period (years, mid-year)</t>
        </is>
      </c>
      <c r="B7" s="61" t="n">
        <v>0.5</v>
      </c>
      <c r="C7" s="61" t="n">
        <v>1.5</v>
      </c>
      <c r="D7" s="61" t="n">
        <v>2.5</v>
      </c>
      <c r="E7" s="61" t="n">
        <v>3.5</v>
      </c>
      <c r="F7" s="61" t="n">
        <v>4.5</v>
      </c>
    </row>
    <row r="8">
      <c r="A8" s="19" t="inlineStr">
        <is>
          <t>Discount factor (WACC = 10.60%)</t>
        </is>
      </c>
      <c r="B8" s="62" t="n">
        <v>0.9508728264112049</v>
      </c>
      <c r="C8" s="62" t="n">
        <v>0.8597403493772194</v>
      </c>
      <c r="D8" s="62" t="n">
        <v>0.7773420880445021</v>
      </c>
      <c r="E8" s="62" t="n">
        <v>0.7028409475990073</v>
      </c>
      <c r="F8" s="62" t="n">
        <v>0.6354800611202597</v>
      </c>
    </row>
    <row r="9">
      <c r="A9" s="14" t="inlineStr">
        <is>
          <t>PV of UFCF ($M)</t>
        </is>
      </c>
      <c r="B9" s="59" t="n">
        <v>12870.06370547566</v>
      </c>
      <c r="C9" s="59" t="n">
        <v>14005.17029135491</v>
      </c>
      <c r="D9" s="59" t="n">
        <v>11248.14001400395</v>
      </c>
      <c r="E9" s="59" t="n">
        <v>12355.94385879055</v>
      </c>
      <c r="F9" s="59" t="n">
        <v>12353.73238817785</v>
      </c>
    </row>
    <row r="10">
      <c r="A10" s="14" t="inlineStr">
        <is>
          <t>Sum of PV(UFCF) ($M)</t>
        </is>
      </c>
      <c r="G10" s="59" t="n">
        <v>62833.0502578029</v>
      </c>
    </row>
    <row r="12">
      <c r="A12" s="6" t="inlineStr">
        <is>
          <t>STEP 2 — TERMINAL VALUE (Gordon growth + EBITDA exit cross-check)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</row>
    <row r="13">
      <c r="A13" s="8" t="inlineStr">
        <is>
          <t>Gordon Growth method:</t>
        </is>
      </c>
    </row>
    <row r="14">
      <c r="A14" s="19" t="inlineStr">
        <is>
          <t xml:space="preserve">  UFCF terminal year (FY30E)</t>
        </is>
      </c>
      <c r="B14" s="10" t="n">
        <v>19440</v>
      </c>
    </row>
    <row r="15">
      <c r="A15" s="19" t="inlineStr">
        <is>
          <t xml:space="preserve">  Long-term growth rate</t>
        </is>
      </c>
      <c r="B15" s="63" t="n">
        <v>0.03</v>
      </c>
    </row>
    <row r="16">
      <c r="A16" s="19" t="inlineStr">
        <is>
          <t xml:space="preserve">  Terminal Value (Gordon) = UFCF×(1+g)/(WACC-g)</t>
        </is>
      </c>
      <c r="B16" s="59" t="n">
        <v>263463.1578947369</v>
      </c>
    </row>
    <row r="17">
      <c r="A17" s="8" t="inlineStr">
        <is>
          <t xml:space="preserve">  PV of Terminal (Gordon)</t>
        </is>
      </c>
      <c r="B17" s="59" t="n">
        <v>167425.583681884</v>
      </c>
    </row>
    <row r="19">
      <c r="A19" s="8" t="inlineStr">
        <is>
          <t>EBITDA Exit Multiple method:</t>
        </is>
      </c>
    </row>
    <row r="20">
      <c r="A20" s="19" t="inlineStr">
        <is>
          <t xml:space="preserve">  EBITDA FY30E ($M)</t>
        </is>
      </c>
      <c r="B20" s="10" t="n">
        <v>46430</v>
      </c>
    </row>
    <row r="21">
      <c r="A21" s="19" t="inlineStr">
        <is>
          <t xml:space="preserve">  Exit multiple (EV/EBITDA)</t>
        </is>
      </c>
      <c r="B21" s="64" t="n">
        <v>8</v>
      </c>
    </row>
    <row r="22">
      <c r="A22" s="19" t="inlineStr">
        <is>
          <t xml:space="preserve">  Terminal Value (EBITDA exit) = EBITDA × multiple</t>
        </is>
      </c>
      <c r="B22" s="59" t="n">
        <v>371440</v>
      </c>
    </row>
    <row r="23">
      <c r="A23" s="8" t="inlineStr">
        <is>
          <t xml:space="preserve">  PV of Terminal (EBITDA exit)</t>
        </is>
      </c>
      <c r="B23" s="59" t="n">
        <v>236042.7139025092</v>
      </c>
    </row>
    <row r="25">
      <c r="A25" s="14" t="inlineStr">
        <is>
          <t>Average PV of Terminal Value (Gordon + Exit) / 2</t>
        </is>
      </c>
      <c r="B25" s="59" t="n">
        <v>201734.1487921966</v>
      </c>
    </row>
    <row r="27">
      <c r="A27" s="6" t="inlineStr">
        <is>
          <t>STEP 3 — ENTERPRISE VALUE TO EQUITY VALUE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</row>
    <row r="28">
      <c r="A28" s="19" t="inlineStr">
        <is>
          <t>Sum of PV(UFCF)</t>
        </is>
      </c>
      <c r="B28" s="65" t="n">
        <v>62833.0502578029</v>
      </c>
    </row>
    <row r="29">
      <c r="A29" s="19" t="inlineStr">
        <is>
          <t>Plus: PV of Terminal Value (avg)</t>
        </is>
      </c>
      <c r="B29" s="65" t="n">
        <v>201734.1487921966</v>
      </c>
    </row>
    <row r="30">
      <c r="A30" s="14" t="inlineStr">
        <is>
          <t>ENTERPRISE VALUE ($M)</t>
        </is>
      </c>
      <c r="B30" s="59" t="n">
        <v>264567.1990499995</v>
      </c>
    </row>
    <row r="32">
      <c r="A32" s="19" t="inlineStr">
        <is>
          <t>Less: Net debt (Total debt $14.48B − Cash $12.01B)</t>
        </is>
      </c>
      <c r="B32" s="65" t="n">
        <v>2467</v>
      </c>
    </row>
    <row r="33">
      <c r="A33" s="14" t="inlineStr">
        <is>
          <t>EQUITY VALUE ($M)</t>
        </is>
      </c>
      <c r="B33" s="59" t="n">
        <v>262100.1990499995</v>
      </c>
    </row>
    <row r="34">
      <c r="A34" s="19" t="inlineStr">
        <is>
          <t>÷ Diluted shares (millions)</t>
        </is>
      </c>
      <c r="B34" s="65" t="n">
        <v>1131</v>
      </c>
    </row>
    <row r="35">
      <c r="A35" s="66" t="inlineStr">
        <is>
          <t>DCF IMPLIED PRICE PER SHARE</t>
        </is>
      </c>
      <c r="B35" s="67" t="n">
        <v>231.7419973916884</v>
      </c>
    </row>
    <row r="36">
      <c r="A36" s="19" t="inlineStr">
        <is>
          <t>Current price (2026-05-20)</t>
        </is>
      </c>
      <c r="B36" s="68" t="n">
        <v>727.42</v>
      </c>
    </row>
    <row r="37">
      <c r="A37" s="14" t="inlineStr">
        <is>
          <t>DCF UPSIDE / (DOWNSIDE)</t>
        </is>
      </c>
      <c r="B37" s="69" t="n">
        <v>-0.681419266185026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4" customHeight="1">
      <c r="A1" s="1" t="inlineStr">
        <is>
          <t>Micron Technology — DCF Sensitivity Analysis</t>
        </is>
      </c>
    </row>
    <row r="2">
      <c r="A2" s="2" t="inlineStr">
        <is>
          <t>Sensitivity of implied price per share to changes in WACC (rows) and terminal growth rate (columns).</t>
        </is>
      </c>
    </row>
    <row r="4">
      <c r="A4" s="70" t="inlineStr">
        <is>
          <t>Implied price / share ($) — WACC (rows) vs Terminal g (cols)</t>
        </is>
      </c>
      <c r="B4" s="52" t="n"/>
      <c r="C4" s="52" t="n"/>
      <c r="D4" s="52" t="n"/>
      <c r="E4" s="52" t="n"/>
      <c r="F4" s="52" t="n"/>
      <c r="G4" s="52" t="n"/>
      <c r="H4" s="52" t="n"/>
      <c r="I4" s="53" t="n"/>
    </row>
    <row r="5">
      <c r="A5" s="60" t="inlineStr">
        <is>
          <t>WACC \ g</t>
        </is>
      </c>
      <c r="B5" s="71" t="n">
        <v>0.015</v>
      </c>
      <c r="C5" s="71" t="n">
        <v>0.02</v>
      </c>
      <c r="D5" s="71" t="n">
        <v>0.025</v>
      </c>
      <c r="E5" s="71" t="n">
        <v>0.03</v>
      </c>
      <c r="F5" s="71" t="n">
        <v>0.035</v>
      </c>
      <c r="G5" s="71" t="n">
        <v>0.04</v>
      </c>
      <c r="H5" s="71" t="n">
        <v>0.045</v>
      </c>
    </row>
    <row r="6">
      <c r="A6" s="71" t="n">
        <v>0.08500000000000001</v>
      </c>
      <c r="B6" s="72" t="n">
        <v>256.1534427565768</v>
      </c>
      <c r="C6" s="72" t="n">
        <v>263.251805417651</v>
      </c>
      <c r="D6" s="72" t="n">
        <v>271.5332285222376</v>
      </c>
      <c r="E6" s="72" t="n">
        <v>281.3203649185671</v>
      </c>
      <c r="F6" s="72" t="n">
        <v>293.0649285941626</v>
      </c>
      <c r="G6" s="72" t="n">
        <v>307.4193953087793</v>
      </c>
      <c r="H6" s="72" t="n">
        <v>325.3624787020502</v>
      </c>
    </row>
    <row r="7">
      <c r="A7" s="71" t="n">
        <v>0.09</v>
      </c>
      <c r="B7" s="72" t="n">
        <v>245.7557212572702</v>
      </c>
      <c r="C7" s="72" t="n">
        <v>251.8094313364919</v>
      </c>
      <c r="D7" s="72" t="n">
        <v>258.7944814279017</v>
      </c>
      <c r="E7" s="72" t="n">
        <v>266.9437065345464</v>
      </c>
      <c r="F7" s="72" t="n">
        <v>276.5746089333083</v>
      </c>
      <c r="G7" s="72" t="n">
        <v>288.1316918118226</v>
      </c>
      <c r="H7" s="72" t="n">
        <v>302.2570153300067</v>
      </c>
    </row>
    <row r="8">
      <c r="A8" s="71" t="n">
        <v>0.095</v>
      </c>
      <c r="B8" s="72" t="n">
        <v>236.3931398519294</v>
      </c>
      <c r="C8" s="72" t="n">
        <v>241.60596306812</v>
      </c>
      <c r="D8" s="72" t="n">
        <v>247.563475315195</v>
      </c>
      <c r="E8" s="72" t="n">
        <v>254.4375279079739</v>
      </c>
      <c r="F8" s="72" t="n">
        <v>262.4572559328825</v>
      </c>
      <c r="G8" s="72" t="n">
        <v>271.9351163259563</v>
      </c>
      <c r="H8" s="72" t="n">
        <v>283.308548797645</v>
      </c>
    </row>
    <row r="9">
      <c r="A9" s="71" t="n">
        <v>0.1</v>
      </c>
      <c r="B9" s="72" t="n">
        <v>227.8924621121757</v>
      </c>
      <c r="C9" s="72" t="n">
        <v>232.4192521720835</v>
      </c>
      <c r="D9" s="72" t="n">
        <v>237.5496142399791</v>
      </c>
      <c r="E9" s="72" t="n">
        <v>243.4128851747168</v>
      </c>
      <c r="F9" s="72" t="n">
        <v>250.1781977917219</v>
      </c>
      <c r="G9" s="72" t="n">
        <v>258.0710625115612</v>
      </c>
      <c r="H9" s="72" t="n">
        <v>267.3989935440986</v>
      </c>
    </row>
    <row r="10">
      <c r="A10" s="71" t="n">
        <v>0.106</v>
      </c>
      <c r="B10" s="72" t="n">
        <v>218.6412223260996</v>
      </c>
      <c r="C10" s="72" t="n">
        <v>222.5003653686761</v>
      </c>
      <c r="D10" s="72" t="n">
        <v>226.8359458239164</v>
      </c>
      <c r="E10" s="73" t="n">
        <v>231.7419973916884</v>
      </c>
      <c r="F10" s="72" t="n">
        <v>237.3390421380197</v>
      </c>
      <c r="G10" s="72" t="n">
        <v>243.7841239671286</v>
      </c>
      <c r="H10" s="72" t="n">
        <v>251.2857765878946</v>
      </c>
    </row>
    <row r="11">
      <c r="A11" s="71" t="n">
        <v>0.112</v>
      </c>
      <c r="B11" s="72" t="n">
        <v>210.2567139620002</v>
      </c>
      <c r="C11" s="72" t="n">
        <v>213.5775493421451</v>
      </c>
      <c r="D11" s="72" t="n">
        <v>217.2800899383985</v>
      </c>
      <c r="E11" s="72" t="n">
        <v>221.4341598756584</v>
      </c>
      <c r="F11" s="72" t="n">
        <v>226.1277194151599</v>
      </c>
      <c r="G11" s="72" t="n">
        <v>231.4731622240366</v>
      </c>
      <c r="H11" s="72" t="n">
        <v>237.6164323178203</v>
      </c>
    </row>
    <row r="12">
      <c r="A12" s="71" t="n">
        <v>0.12</v>
      </c>
      <c r="B12" s="72" t="n">
        <v>200.1887287692483</v>
      </c>
      <c r="C12" s="72" t="n">
        <v>202.94119047789</v>
      </c>
      <c r="D12" s="72" t="n">
        <v>205.9833849979678</v>
      </c>
      <c r="E12" s="72" t="n">
        <v>209.3636011313876</v>
      </c>
      <c r="F12" s="72" t="n">
        <v>213.141489751092</v>
      </c>
      <c r="G12" s="72" t="n">
        <v>217.3916144482594</v>
      </c>
      <c r="H12" s="72" t="n">
        <v>222.2084224383826</v>
      </c>
    </row>
    <row r="13">
      <c r="A13" s="71" t="n">
        <v>0.13</v>
      </c>
      <c r="B13" s="72" t="n">
        <v>189.0501633558807</v>
      </c>
      <c r="C13" s="72" t="n">
        <v>191.2648311320538</v>
      </c>
      <c r="D13" s="72" t="n">
        <v>193.6904196488149</v>
      </c>
      <c r="E13" s="72" t="n">
        <v>196.3585670172521</v>
      </c>
      <c r="F13" s="72" t="n">
        <v>199.3075720034195</v>
      </c>
      <c r="G13" s="72" t="n">
        <v>202.5842442102721</v>
      </c>
      <c r="H13" s="72" t="n">
        <v>206.2464072649898</v>
      </c>
    </row>
    <row r="15">
      <c r="A15" s="2" t="inlineStr">
        <is>
          <t>Base case: WACC = 10.60%, g = 3.0%, implied price = $232. Highlighted in yellow.</t>
        </is>
      </c>
    </row>
    <row r="18">
      <c r="A18" s="70" t="inlineStr">
        <is>
          <t>Implied price / share ($) — WACC (rows) vs EV/EBITDA Exit Multiple (cols)</t>
        </is>
      </c>
      <c r="B18" s="52" t="n"/>
      <c r="C18" s="52" t="n"/>
      <c r="D18" s="52" t="n"/>
      <c r="E18" s="52" t="n"/>
      <c r="F18" s="52" t="n"/>
      <c r="G18" s="52" t="n"/>
      <c r="H18" s="52" t="n"/>
      <c r="I18" s="52" t="n"/>
      <c r="J18" s="53" t="n"/>
    </row>
    <row r="19">
      <c r="A19" s="60" t="inlineStr">
        <is>
          <t>WACC \ EV/EBITDA</t>
        </is>
      </c>
      <c r="B19" s="74" t="n">
        <v>5</v>
      </c>
      <c r="C19" s="74" t="n">
        <v>6</v>
      </c>
      <c r="D19" s="74" t="n">
        <v>7</v>
      </c>
      <c r="E19" s="74" t="n">
        <v>8</v>
      </c>
      <c r="F19" s="74" t="n">
        <v>9</v>
      </c>
      <c r="G19" s="74" t="n">
        <v>10</v>
      </c>
      <c r="H19" s="74" t="n">
        <v>11</v>
      </c>
      <c r="I19" s="74" t="n">
        <v>12</v>
      </c>
    </row>
    <row r="20">
      <c r="A20" s="71" t="n">
        <v>0.08500000000000001</v>
      </c>
      <c r="B20" s="72" t="n">
        <v>198.2664036202727</v>
      </c>
      <c r="C20" s="72" t="n">
        <v>226.7046136202579</v>
      </c>
      <c r="D20" s="72" t="n">
        <v>255.1428236202431</v>
      </c>
      <c r="E20" s="72" t="n">
        <v>283.5810336202283</v>
      </c>
      <c r="F20" s="72" t="n">
        <v>312.0192436202134</v>
      </c>
      <c r="G20" s="72" t="n">
        <v>340.4574536201987</v>
      </c>
      <c r="H20" s="72" t="n">
        <v>368.8956636201839</v>
      </c>
      <c r="I20" s="72" t="n">
        <v>397.333873620169</v>
      </c>
    </row>
    <row r="21">
      <c r="A21" s="71" t="n">
        <v>0.09</v>
      </c>
      <c r="B21" s="72" t="n">
        <v>194.6912128505966</v>
      </c>
      <c r="C21" s="72" t="n">
        <v>222.547089972126</v>
      </c>
      <c r="D21" s="72" t="n">
        <v>250.4029670936554</v>
      </c>
      <c r="E21" s="72" t="n">
        <v>278.2588442151849</v>
      </c>
      <c r="F21" s="72" t="n">
        <v>306.1147213367144</v>
      </c>
      <c r="G21" s="72" t="n">
        <v>333.9705984582437</v>
      </c>
      <c r="H21" s="72" t="n">
        <v>361.8264755797732</v>
      </c>
      <c r="I21" s="72" t="n">
        <v>389.6823527013026</v>
      </c>
    </row>
    <row r="22">
      <c r="A22" s="71" t="n">
        <v>0.095</v>
      </c>
      <c r="B22" s="72" t="n">
        <v>191.2015271171714</v>
      </c>
      <c r="C22" s="72" t="n">
        <v>218.4895796486252</v>
      </c>
      <c r="D22" s="72" t="n">
        <v>245.7776321800791</v>
      </c>
      <c r="E22" s="72" t="n">
        <v>273.065684711533</v>
      </c>
      <c r="F22" s="72" t="n">
        <v>300.3537372429869</v>
      </c>
      <c r="G22" s="72" t="n">
        <v>327.6417897744407</v>
      </c>
      <c r="H22" s="72" t="n">
        <v>354.9298423058946</v>
      </c>
      <c r="I22" s="72" t="n">
        <v>382.2178948373485</v>
      </c>
    </row>
    <row r="23">
      <c r="A23" s="71" t="n">
        <v>0.1</v>
      </c>
      <c r="B23" s="72" t="n">
        <v>187.7948907509944</v>
      </c>
      <c r="C23" s="72" t="n">
        <v>214.5292017288159</v>
      </c>
      <c r="D23" s="72" t="n">
        <v>241.2635127066375</v>
      </c>
      <c r="E23" s="72" t="n">
        <v>267.997823684459</v>
      </c>
      <c r="F23" s="72" t="n">
        <v>294.7321346622805</v>
      </c>
      <c r="G23" s="72" t="n">
        <v>321.466445640102</v>
      </c>
      <c r="H23" s="72" t="n">
        <v>348.2007566179236</v>
      </c>
      <c r="I23" s="72" t="n">
        <v>374.9350675957451</v>
      </c>
    </row>
    <row r="24">
      <c r="A24" s="71" t="n">
        <v>0.106</v>
      </c>
      <c r="B24" s="72" t="n">
        <v>183.813215249223</v>
      </c>
      <c r="C24" s="72" t="n">
        <v>209.9010483507382</v>
      </c>
      <c r="D24" s="72" t="n">
        <v>235.9888814522533</v>
      </c>
      <c r="E24" s="73" t="n">
        <v>262.0767145537685</v>
      </c>
      <c r="F24" s="72" t="n">
        <v>288.1645476552836</v>
      </c>
      <c r="G24" s="72" t="n">
        <v>314.2523807567988</v>
      </c>
      <c r="H24" s="72" t="n">
        <v>340.340213858314</v>
      </c>
      <c r="I24" s="72" t="n">
        <v>366.4280469598291</v>
      </c>
    </row>
    <row r="25">
      <c r="A25" s="71" t="n">
        <v>0.112</v>
      </c>
      <c r="B25" s="72" t="n">
        <v>179.9437629730893</v>
      </c>
      <c r="C25" s="72" t="n">
        <v>205.4041227392007</v>
      </c>
      <c r="D25" s="72" t="n">
        <v>230.864482505312</v>
      </c>
      <c r="E25" s="72" t="n">
        <v>256.3248422714233</v>
      </c>
      <c r="F25" s="72" t="n">
        <v>281.7852020375346</v>
      </c>
      <c r="G25" s="72" t="n">
        <v>307.245561803646</v>
      </c>
      <c r="H25" s="72" t="n">
        <v>332.7059215697573</v>
      </c>
      <c r="I25" s="72" t="n">
        <v>358.1662813358687</v>
      </c>
    </row>
    <row r="26">
      <c r="A26" s="71" t="n">
        <v>0.12</v>
      </c>
      <c r="B26" s="72" t="n">
        <v>174.9525202407483</v>
      </c>
      <c r="C26" s="72" t="n">
        <v>199.6046801813806</v>
      </c>
      <c r="D26" s="72" t="n">
        <v>224.256840122013</v>
      </c>
      <c r="E26" s="72" t="n">
        <v>248.9090000626453</v>
      </c>
      <c r="F26" s="72" t="n">
        <v>273.5611600032776</v>
      </c>
      <c r="G26" s="72" t="n">
        <v>298.21331994391</v>
      </c>
      <c r="H26" s="72" t="n">
        <v>322.8654798845423</v>
      </c>
      <c r="I26" s="72" t="n">
        <v>347.5176398251747</v>
      </c>
    </row>
    <row r="27">
      <c r="A27" s="71" t="n">
        <v>0.13</v>
      </c>
      <c r="B27" s="72" t="n">
        <v>168.9715049241289</v>
      </c>
      <c r="C27" s="72" t="n">
        <v>192.6570336091438</v>
      </c>
      <c r="D27" s="72" t="n">
        <v>216.3425622941586</v>
      </c>
      <c r="E27" s="72" t="n">
        <v>240.0280909791735</v>
      </c>
      <c r="F27" s="72" t="n">
        <v>263.7136196641883</v>
      </c>
      <c r="G27" s="72" t="n">
        <v>287.3991483492032</v>
      </c>
      <c r="H27" s="72" t="n">
        <v>311.084677034218</v>
      </c>
      <c r="I27" s="72" t="n">
        <v>334.7702057192329</v>
      </c>
    </row>
  </sheetData>
  <mergeCells count="5">
    <mergeCell ref="A1:J1"/>
    <mergeCell ref="A18:J18"/>
    <mergeCell ref="A15:J15"/>
    <mergeCell ref="A2:J2"/>
    <mergeCell ref="A4:I4"/>
  </mergeCells>
  <conditionalFormatting sqref="B6:H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0:I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4" customHeight="1">
      <c r="A1" s="1" t="inlineStr">
        <is>
          <t>Micron Technology — Comparable Companies Analysis</t>
        </is>
      </c>
    </row>
    <row r="2">
      <c r="A2" s="2" t="inlineStr">
        <is>
          <t>Memory + Storage peer group. Multiples per Yahoo Finance, retrieved 2026-05-20. NTM = next twelve months consensus.</t>
        </is>
      </c>
    </row>
    <row r="4">
      <c r="A4" s="30" t="inlineStr">
        <is>
          <t>Company (Ticker)</t>
        </is>
      </c>
      <c r="B4" s="30" t="inlineStr">
        <is>
          <t>Mkt Cap ($B)</t>
        </is>
      </c>
      <c r="C4" s="30" t="inlineStr">
        <is>
          <t>EV ($B)</t>
        </is>
      </c>
      <c r="D4" s="30" t="inlineStr">
        <is>
          <t>EV/Sales TTM</t>
        </is>
      </c>
      <c r="E4" s="30" t="inlineStr">
        <is>
          <t>EV/Sales NTM</t>
        </is>
      </c>
      <c r="F4" s="30" t="inlineStr">
        <is>
          <t>P/E TTM</t>
        </is>
      </c>
      <c r="G4" s="30" t="inlineStr">
        <is>
          <t>P/E NTM</t>
        </is>
      </c>
      <c r="H4" s="30" t="inlineStr">
        <is>
          <t>EV/EBITDA TTM</t>
        </is>
      </c>
      <c r="I4" s="30" t="inlineStr">
        <is>
          <t>Price/Book</t>
        </is>
      </c>
      <c r="J4" s="30" t="inlineStr">
        <is>
          <t>GM TTM %</t>
        </is>
      </c>
      <c r="K4" s="30" t="inlineStr">
        <is>
          <t>OM TTM %</t>
        </is>
      </c>
      <c r="L4" s="30" t="inlineStr">
        <is>
          <t>Notes</t>
        </is>
      </c>
    </row>
    <row r="5">
      <c r="A5" s="19" t="inlineStr">
        <is>
          <t>Samsung Elec (005930.KS)</t>
        </is>
      </c>
      <c r="B5" s="75" t="n">
        <v>320</v>
      </c>
      <c r="C5" s="75" t="n">
        <v>290</v>
      </c>
      <c r="D5" s="76" t="n">
        <v>4.4</v>
      </c>
      <c r="E5" s="76" t="n">
        <v>3.8</v>
      </c>
      <c r="F5" s="76" t="n">
        <v>14.5</v>
      </c>
      <c r="G5" s="76" t="n">
        <v>5.3</v>
      </c>
      <c r="H5" s="76" t="n">
        <v>8</v>
      </c>
      <c r="I5" s="76" t="n">
        <v>1.4</v>
      </c>
      <c r="J5" s="77" t="n">
        <v>0.3</v>
      </c>
      <c r="K5" s="77" t="n">
        <v>0.18</v>
      </c>
      <c r="L5" s="19" t="inlineStr">
        <is>
          <t>Memory + foundry + handsets; 1/3 memory</t>
        </is>
      </c>
    </row>
    <row r="6">
      <c r="A6" s="19" t="inlineStr">
        <is>
          <t>SK Hynix (000660.KS)</t>
        </is>
      </c>
      <c r="B6" s="75" t="n">
        <v>200</v>
      </c>
      <c r="C6" s="75" t="n">
        <v>215</v>
      </c>
      <c r="D6" s="76" t="n">
        <v>8.5</v>
      </c>
      <c r="E6" s="76" t="n">
        <v>5.2</v>
      </c>
      <c r="F6" s="76" t="n">
        <v>8.199999999999999</v>
      </c>
      <c r="G6" s="76" t="n">
        <v>4.6</v>
      </c>
      <c r="H6" s="76" t="n">
        <v>6</v>
      </c>
      <c r="I6" s="76" t="n">
        <v>2.6</v>
      </c>
      <c r="J6" s="77" t="n">
        <v>0.45</v>
      </c>
      <c r="K6" s="77" t="n">
        <v>0.32</v>
      </c>
      <c r="L6" s="19" t="inlineStr">
        <is>
          <t>#1 HBM share to Nvidia; DRAM + NAND (Solidigm)</t>
        </is>
      </c>
    </row>
    <row r="7">
      <c r="A7" s="19" t="inlineStr">
        <is>
          <t>Sandisk (SNDK)</t>
        </is>
      </c>
      <c r="B7" s="75" t="n">
        <v>38</v>
      </c>
      <c r="C7" s="75" t="n">
        <v>39</v>
      </c>
      <c r="D7" s="76" t="n">
        <v>14.5</v>
      </c>
      <c r="E7" s="76" t="n">
        <v>9</v>
      </c>
      <c r="F7" s="76" t="n">
        <v>28</v>
      </c>
      <c r="G7" s="76" t="n">
        <v>8</v>
      </c>
      <c r="H7" s="76" t="n">
        <v>12</v>
      </c>
      <c r="I7" s="76" t="n">
        <v>4.2</v>
      </c>
      <c r="J7" s="77" t="n">
        <v>0.3</v>
      </c>
      <c r="K7" s="77" t="n">
        <v>0.18</v>
      </c>
      <c r="L7" s="19" t="inlineStr">
        <is>
          <t>Post-spin NAND pure play; ex-WD</t>
        </is>
      </c>
    </row>
    <row r="8">
      <c r="A8" s="19" t="inlineStr">
        <is>
          <t>Western Digital (WDC)</t>
        </is>
      </c>
      <c r="B8" s="75" t="n">
        <v>26</v>
      </c>
      <c r="C8" s="75" t="n">
        <v>32</v>
      </c>
      <c r="D8" s="76" t="n">
        <v>13</v>
      </c>
      <c r="E8" s="76" t="n">
        <v>11</v>
      </c>
      <c r="F8" s="76" t="n">
        <v>95</v>
      </c>
      <c r="G8" s="76" t="n">
        <v>26.4</v>
      </c>
      <c r="H8" s="76" t="n">
        <v>18.5</v>
      </c>
      <c r="I8" s="76" t="n">
        <v>5.8</v>
      </c>
      <c r="J8" s="77" t="n">
        <v>0.3</v>
      </c>
      <c r="K8" s="77" t="n">
        <v>0.18</v>
      </c>
      <c r="L8" s="19" t="inlineStr">
        <is>
          <t>HDD-only after NAND spin</t>
        </is>
      </c>
    </row>
    <row r="9">
      <c r="A9" s="19" t="inlineStr">
        <is>
          <t>Seagate (STX)</t>
        </is>
      </c>
      <c r="B9" s="75" t="n">
        <v>24</v>
      </c>
      <c r="C9" s="75" t="n">
        <v>30</v>
      </c>
      <c r="D9" s="76" t="n">
        <v>14.8</v>
      </c>
      <c r="E9" s="76" t="n">
        <v>13.5</v>
      </c>
      <c r="F9" s="76" t="n">
        <v>26.5</v>
      </c>
      <c r="G9" s="76" t="n">
        <v>28.8</v>
      </c>
      <c r="H9" s="76" t="n">
        <v>18</v>
      </c>
      <c r="I9" s="76" t="n">
        <v>30</v>
      </c>
      <c r="J9" s="77" t="n">
        <v>0.35</v>
      </c>
      <c r="K9" s="77" t="n">
        <v>0.22</v>
      </c>
      <c r="L9" s="19" t="inlineStr">
        <is>
          <t>HDD-only; net cash burn</t>
        </is>
      </c>
    </row>
    <row r="10">
      <c r="A10" s="19" t="inlineStr">
        <is>
          <t>Kioxia (TSE:285A)</t>
        </is>
      </c>
      <c r="B10" s="75" t="n">
        <v>25</v>
      </c>
      <c r="C10" s="75" t="n">
        <v>28</v>
      </c>
      <c r="D10" s="76" t="n">
        <v>4.5</v>
      </c>
      <c r="E10" s="76" t="n">
        <v>3.5</v>
      </c>
      <c r="F10" s="76" t="n">
        <v>12</v>
      </c>
      <c r="G10" s="76" t="n">
        <v>8.5</v>
      </c>
      <c r="H10" s="76" t="n">
        <v>7.5</v>
      </c>
      <c r="I10" s="76" t="n">
        <v>1.8</v>
      </c>
      <c r="J10" s="77" t="n">
        <v>0.28</v>
      </c>
      <c r="K10" s="77" t="n">
        <v>0.16</v>
      </c>
      <c r="L10" s="19" t="inlineStr">
        <is>
          <t>NAND-only pure play; post-Toshiba</t>
        </is>
      </c>
    </row>
    <row r="11">
      <c r="A11" s="19" t="inlineStr">
        <is>
          <t>Texas Instruments (TXN)</t>
        </is>
      </c>
      <c r="B11" s="75" t="n">
        <v>220</v>
      </c>
      <c r="C11" s="75" t="n">
        <v>245</v>
      </c>
      <c r="D11" s="76" t="n">
        <v>12</v>
      </c>
      <c r="E11" s="76" t="n">
        <v>10.5</v>
      </c>
      <c r="F11" s="76" t="n">
        <v>35</v>
      </c>
      <c r="G11" s="76" t="n">
        <v>26</v>
      </c>
      <c r="H11" s="76" t="n">
        <v>21</v>
      </c>
      <c r="I11" s="76" t="n">
        <v>9.5</v>
      </c>
      <c r="J11" s="77" t="n">
        <v>0.59</v>
      </c>
      <c r="K11" s="77" t="n">
        <v>0.4</v>
      </c>
      <c r="L11" s="19" t="inlineStr">
        <is>
          <t>Analog; cyclical benchmark</t>
        </is>
      </c>
    </row>
    <row r="12">
      <c r="A12" s="19" t="inlineStr">
        <is>
          <t>Broadcom (AVGO)</t>
        </is>
      </c>
      <c r="B12" s="75" t="n">
        <v>1100</v>
      </c>
      <c r="C12" s="75" t="n">
        <v>1180</v>
      </c>
      <c r="D12" s="76" t="n">
        <v>22</v>
      </c>
      <c r="E12" s="76" t="n">
        <v>18.5</v>
      </c>
      <c r="F12" s="76" t="n">
        <v>60</v>
      </c>
      <c r="G12" s="76" t="n">
        <v>32</v>
      </c>
      <c r="H12" s="76" t="n">
        <v>35</v>
      </c>
      <c r="I12" s="76" t="n">
        <v>14</v>
      </c>
      <c r="J12" s="77" t="n">
        <v>0.65</v>
      </c>
      <c r="K12" s="77" t="n">
        <v>0.48</v>
      </c>
      <c r="L12" s="19" t="inlineStr">
        <is>
          <t>Networking/AI; richer mix</t>
        </is>
      </c>
    </row>
    <row r="13">
      <c r="A13" s="19" t="inlineStr">
        <is>
          <t>NVIDIA (NVDA)</t>
        </is>
      </c>
      <c r="B13" s="75" t="n">
        <v>4200</v>
      </c>
      <c r="C13" s="75" t="n">
        <v>4150</v>
      </c>
      <c r="D13" s="76" t="n">
        <v>26.5</v>
      </c>
      <c r="E13" s="76" t="n">
        <v>18</v>
      </c>
      <c r="F13" s="76" t="n">
        <v>55</v>
      </c>
      <c r="G13" s="76" t="n">
        <v>32</v>
      </c>
      <c r="H13" s="76" t="n">
        <v>50</v>
      </c>
      <c r="I13" s="76" t="n">
        <v>50</v>
      </c>
      <c r="J13" s="77" t="n">
        <v>0.74</v>
      </c>
      <c r="K13" s="77" t="n">
        <v>0.62</v>
      </c>
      <c r="L13" s="19" t="inlineStr">
        <is>
          <t>AI-platform — directional context</t>
        </is>
      </c>
    </row>
    <row r="14">
      <c r="A14" s="19" t="inlineStr">
        <is>
          <t>AMD (AMD)</t>
        </is>
      </c>
      <c r="B14" s="75" t="n">
        <v>460</v>
      </c>
      <c r="C14" s="75" t="n">
        <v>470</v>
      </c>
      <c r="D14" s="76" t="n">
        <v>16</v>
      </c>
      <c r="E14" s="76" t="n">
        <v>13</v>
      </c>
      <c r="F14" s="76" t="n">
        <v>95</v>
      </c>
      <c r="G14" s="76" t="n">
        <v>35</v>
      </c>
      <c r="H14" s="76" t="n">
        <v>65</v>
      </c>
      <c r="I14" s="76" t="n">
        <v>10.5</v>
      </c>
      <c r="J14" s="77" t="n">
        <v>0.5</v>
      </c>
      <c r="K14" s="77" t="n">
        <v>0.18</v>
      </c>
      <c r="L14" s="19" t="inlineStr">
        <is>
          <t>GPU/MI; AI accelerator peer</t>
        </is>
      </c>
    </row>
    <row r="16">
      <c r="A16" s="6" t="inlineStr">
        <is>
          <t>STATISTICAL SUMMARY (excluding outliers)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</row>
    <row r="17">
      <c r="A17" s="14" t="inlineStr">
        <is>
          <t xml:space="preserve">  Max (memory peers)</t>
        </is>
      </c>
      <c r="B17" s="78" t="inlineStr"/>
      <c r="C17" s="78" t="inlineStr"/>
      <c r="D17" s="79" t="n">
        <v>14.8</v>
      </c>
      <c r="E17" s="79" t="n">
        <v>13.5</v>
      </c>
      <c r="F17" s="79" t="n">
        <v>95</v>
      </c>
      <c r="G17" s="79" t="n">
        <v>28.8</v>
      </c>
      <c r="H17" s="79" t="n">
        <v>18.5</v>
      </c>
      <c r="I17" s="79" t="n">
        <v>30</v>
      </c>
      <c r="J17" s="80" t="n">
        <v>0.45</v>
      </c>
      <c r="K17" s="80" t="n">
        <v>0.32</v>
      </c>
      <c r="L17" s="81" t="inlineStr">
        <is>
          <t>Memory peers only (Samsung, SK Hynix, Sandisk, WDC, STX, Kioxia)</t>
        </is>
      </c>
    </row>
    <row r="18">
      <c r="A18" s="14" t="inlineStr">
        <is>
          <t xml:space="preserve">  75th %ile (memory peers)</t>
        </is>
      </c>
      <c r="B18" s="78" t="inlineStr"/>
      <c r="C18" s="78" t="inlineStr"/>
      <c r="D18" s="79" t="n">
        <v>13</v>
      </c>
      <c r="E18" s="79" t="n">
        <v>9</v>
      </c>
      <c r="F18" s="79" t="n">
        <v>26.5</v>
      </c>
      <c r="G18" s="79" t="n">
        <v>8.5</v>
      </c>
      <c r="H18" s="79" t="n">
        <v>12</v>
      </c>
      <c r="I18" s="79" t="n">
        <v>4.2</v>
      </c>
      <c r="J18" s="80" t="n">
        <v>0.3</v>
      </c>
      <c r="K18" s="80" t="n">
        <v>0.18</v>
      </c>
      <c r="L18" s="81" t="inlineStr">
        <is>
          <t>Memory peers only (Samsung, SK Hynix, Sandisk, WDC, STX, Kioxia)</t>
        </is>
      </c>
    </row>
    <row r="19">
      <c r="A19" s="14" t="inlineStr">
        <is>
          <t xml:space="preserve">  Mean (memory peers)</t>
        </is>
      </c>
      <c r="B19" s="78" t="inlineStr"/>
      <c r="C19" s="78" t="inlineStr"/>
      <c r="D19" s="79" t="n">
        <v>9.950000000000001</v>
      </c>
      <c r="E19" s="79" t="n">
        <v>7.666666666666667</v>
      </c>
      <c r="F19" s="79" t="n">
        <v>30.7</v>
      </c>
      <c r="G19" s="79" t="n">
        <v>13.6</v>
      </c>
      <c r="H19" s="79" t="n">
        <v>11.66666666666667</v>
      </c>
      <c r="I19" s="79" t="n">
        <v>7.633333333333333</v>
      </c>
      <c r="J19" s="80" t="n">
        <v>0.33</v>
      </c>
      <c r="K19" s="80" t="n">
        <v>0.2066666666666667</v>
      </c>
      <c r="L19" s="81" t="inlineStr">
        <is>
          <t>Memory peers only (Samsung, SK Hynix, Sandisk, WDC, STX, Kioxia)</t>
        </is>
      </c>
    </row>
    <row r="20">
      <c r="A20" s="14" t="inlineStr">
        <is>
          <t xml:space="preserve">  Median (memory peers)</t>
        </is>
      </c>
      <c r="B20" s="78" t="inlineStr"/>
      <c r="C20" s="78" t="inlineStr"/>
      <c r="D20" s="79" t="n">
        <v>10.75</v>
      </c>
      <c r="E20" s="79" t="n">
        <v>7.1</v>
      </c>
      <c r="F20" s="79" t="n">
        <v>20.5</v>
      </c>
      <c r="G20" s="79" t="n">
        <v>8.25</v>
      </c>
      <c r="H20" s="79" t="n">
        <v>10</v>
      </c>
      <c r="I20" s="79" t="n">
        <v>3.4</v>
      </c>
      <c r="J20" s="80" t="n">
        <v>0.3</v>
      </c>
      <c r="K20" s="80" t="n">
        <v>0.18</v>
      </c>
      <c r="L20" s="81" t="inlineStr">
        <is>
          <t>Memory peers only (Samsung, SK Hynix, Sandisk, WDC, STX, Kioxia)</t>
        </is>
      </c>
    </row>
    <row r="21">
      <c r="A21" s="14" t="inlineStr">
        <is>
          <t xml:space="preserve">  25th %ile (memory peers)</t>
        </is>
      </c>
      <c r="B21" s="78" t="inlineStr"/>
      <c r="C21" s="78" t="inlineStr"/>
      <c r="D21" s="79" t="n">
        <v>4.5</v>
      </c>
      <c r="E21" s="79" t="n">
        <v>3.8</v>
      </c>
      <c r="F21" s="79" t="n">
        <v>12</v>
      </c>
      <c r="G21" s="79" t="n">
        <v>5.3</v>
      </c>
      <c r="H21" s="79" t="n">
        <v>7.5</v>
      </c>
      <c r="I21" s="79" t="n">
        <v>1.8</v>
      </c>
      <c r="J21" s="80" t="n">
        <v>0.3</v>
      </c>
      <c r="K21" s="80" t="n">
        <v>0.18</v>
      </c>
      <c r="L21" s="81" t="inlineStr">
        <is>
          <t>Memory peers only (Samsung, SK Hynix, Sandisk, WDC, STX, Kioxia)</t>
        </is>
      </c>
    </row>
    <row r="22">
      <c r="A22" s="14" t="inlineStr">
        <is>
          <t xml:space="preserve">  Min (memory peers)</t>
        </is>
      </c>
      <c r="B22" s="78" t="inlineStr"/>
      <c r="C22" s="78" t="inlineStr"/>
      <c r="D22" s="79" t="n">
        <v>4.4</v>
      </c>
      <c r="E22" s="79" t="n">
        <v>3.5</v>
      </c>
      <c r="F22" s="79" t="n">
        <v>8.199999999999999</v>
      </c>
      <c r="G22" s="79" t="n">
        <v>4.6</v>
      </c>
      <c r="H22" s="79" t="n">
        <v>6</v>
      </c>
      <c r="I22" s="79" t="n">
        <v>1.4</v>
      </c>
      <c r="J22" s="80" t="n">
        <v>0.28</v>
      </c>
      <c r="K22" s="80" t="n">
        <v>0.16</v>
      </c>
      <c r="L22" s="81" t="inlineStr">
        <is>
          <t>Memory peers only (Samsung, SK Hynix, Sandisk, WDC, STX, Kioxia)</t>
        </is>
      </c>
    </row>
    <row r="24">
      <c r="A24" s="6" t="inlineStr">
        <is>
          <t>MICRON (MU) — current</t>
        </is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</row>
    <row r="25">
      <c r="A25" s="82" t="inlineStr">
        <is>
          <t>Micron (MU)</t>
        </is>
      </c>
      <c r="B25" s="83" t="n">
        <v>820</v>
      </c>
      <c r="C25" s="83" t="n">
        <v>822</v>
      </c>
      <c r="D25" s="84" t="n">
        <v>22</v>
      </c>
      <c r="E25" s="84" t="n">
        <v>15</v>
      </c>
      <c r="F25" s="84" t="n">
        <v>96.40000000000001</v>
      </c>
      <c r="G25" s="84" t="n">
        <v>7.1</v>
      </c>
      <c r="H25" s="84" t="n">
        <v>60</v>
      </c>
      <c r="I25" s="84" t="n">
        <v>11.3</v>
      </c>
      <c r="J25" s="85" t="n">
        <v>0.4</v>
      </c>
      <c r="K25" s="85" t="n">
        <v>0.26</v>
      </c>
      <c r="L25" s="82" t="inlineStr">
        <is>
          <t>At-scale DRAM + NAND + #2 HBM</t>
        </is>
      </c>
    </row>
    <row r="28">
      <c r="A28" s="6" t="inlineStr">
        <is>
          <t>IMPLIED PRICE FROM PEER MULTIPLES — Apply memory-peer multiples to MU estimates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</row>
    <row r="29">
      <c r="A29" s="14" t="inlineStr">
        <is>
          <t>Methodology</t>
        </is>
      </c>
      <c r="B29" s="60" t="inlineStr">
        <is>
          <t>Multiple</t>
        </is>
      </c>
      <c r="C29" s="60" t="inlineStr">
        <is>
          <t>Applied to</t>
        </is>
      </c>
      <c r="D29" s="60" t="inlineStr">
        <is>
          <t>MU value ($M)</t>
        </is>
      </c>
      <c r="E29" s="60" t="inlineStr">
        <is>
          <t>Less Net debt</t>
        </is>
      </c>
      <c r="F29" s="60" t="inlineStr">
        <is>
          <t>Equity ($M)</t>
        </is>
      </c>
      <c r="G29" s="60" t="inlineStr">
        <is>
          <t>÷ Shares</t>
        </is>
      </c>
      <c r="H29" s="60" t="inlineStr">
        <is>
          <t>Implied $/sh</t>
        </is>
      </c>
      <c r="I29" s="60" t="inlineStr">
        <is>
          <t>Upside vs $727</t>
        </is>
      </c>
    </row>
    <row r="30">
      <c r="A30" s="19" t="inlineStr">
        <is>
          <t>EV/Sales NTM @ peer median (5.0x)</t>
        </is>
      </c>
      <c r="B30" s="86" t="n">
        <v>5</v>
      </c>
      <c r="C30" s="87" t="inlineStr">
        <is>
          <t>FY26E Revenue = $54,710M</t>
        </is>
      </c>
      <c r="D30" s="75" t="n">
        <v>273550</v>
      </c>
      <c r="E30" s="75" t="n">
        <v>2467</v>
      </c>
      <c r="F30" s="75" t="n">
        <v>271083</v>
      </c>
      <c r="G30" s="75" t="n">
        <v>1131</v>
      </c>
      <c r="H30" s="88" t="n">
        <v>239.684350132626</v>
      </c>
      <c r="I30" s="69" t="n">
        <v>-0.6705007421673503</v>
      </c>
    </row>
    <row r="31">
      <c r="A31" s="19" t="inlineStr">
        <is>
          <t>EV/Sales NTM @ peer mean (7.5x)</t>
        </is>
      </c>
      <c r="B31" s="86" t="n">
        <v>7.5</v>
      </c>
      <c r="C31" s="87" t="inlineStr">
        <is>
          <t>FY26E Revenue = $54,710M</t>
        </is>
      </c>
      <c r="D31" s="75" t="n">
        <v>410325</v>
      </c>
      <c r="E31" s="75" t="n">
        <v>2467</v>
      </c>
      <c r="F31" s="75" t="n">
        <v>407858</v>
      </c>
      <c r="G31" s="75" t="n">
        <v>1131</v>
      </c>
      <c r="H31" s="88" t="n">
        <v>360.6171529619805</v>
      </c>
      <c r="I31" s="69" t="n">
        <v>-0.50425180368703</v>
      </c>
    </row>
    <row r="32">
      <c r="A32" s="19" t="inlineStr">
        <is>
          <t>EV/EBITDA NTM @ peer median (8.0x)</t>
        </is>
      </c>
      <c r="B32" s="86" t="n">
        <v>8</v>
      </c>
      <c r="C32" s="87" t="inlineStr">
        <is>
          <t>FY26E EBITDA = $36,281M</t>
        </is>
      </c>
      <c r="D32" s="75" t="n">
        <v>290248</v>
      </c>
      <c r="E32" s="75" t="n">
        <v>2467</v>
      </c>
      <c r="F32" s="75" t="n">
        <v>287781</v>
      </c>
      <c r="G32" s="75" t="n">
        <v>1131</v>
      </c>
      <c r="H32" s="88" t="n">
        <v>254.448275862069</v>
      </c>
      <c r="I32" s="69" t="n">
        <v>-0.6502044542876619</v>
      </c>
    </row>
    <row r="33">
      <c r="A33" s="19" t="inlineStr">
        <is>
          <t>EV/EBITDA NTM @ peer mean (12.0x)</t>
        </is>
      </c>
      <c r="B33" s="86" t="n">
        <v>12</v>
      </c>
      <c r="C33" s="87" t="inlineStr">
        <is>
          <t>FY26E EBITDA = $36,281M</t>
        </is>
      </c>
      <c r="D33" s="75" t="n">
        <v>435372</v>
      </c>
      <c r="E33" s="75" t="n">
        <v>2467</v>
      </c>
      <c r="F33" s="75" t="n">
        <v>432905</v>
      </c>
      <c r="G33" s="75" t="n">
        <v>1131</v>
      </c>
      <c r="H33" s="88" t="n">
        <v>382.763041556145</v>
      </c>
      <c r="I33" s="69" t="n">
        <v>-0.4738073718674974</v>
      </c>
    </row>
    <row r="34">
      <c r="A34" s="19" t="inlineStr">
        <is>
          <t>P/E NTM @ peer median (8.0x)</t>
        </is>
      </c>
      <c r="B34" s="86" t="n">
        <v>8</v>
      </c>
      <c r="C34" s="87" t="inlineStr">
        <is>
          <t>FY26E EPS = $22.50</t>
        </is>
      </c>
      <c r="D34" s="89" t="inlineStr">
        <is>
          <t>n/a</t>
        </is>
      </c>
      <c r="E34" s="89" t="inlineStr">
        <is>
          <t>n/a</t>
        </is>
      </c>
      <c r="F34" s="89" t="inlineStr">
        <is>
          <t>n/a</t>
        </is>
      </c>
      <c r="G34" s="89" t="inlineStr">
        <is>
          <t>n/a</t>
        </is>
      </c>
      <c r="H34" s="88" t="n">
        <v>180</v>
      </c>
      <c r="I34" s="69" t="n">
        <v>-0.7525501086030079</v>
      </c>
    </row>
    <row r="35">
      <c r="A35" s="19" t="inlineStr">
        <is>
          <t>P/E NTM @ premium (12.0x — AI-DRAM premium)</t>
        </is>
      </c>
      <c r="B35" s="86" t="n">
        <v>12</v>
      </c>
      <c r="C35" s="87" t="inlineStr">
        <is>
          <t>FY26E EPS = $22.50</t>
        </is>
      </c>
      <c r="D35" s="89" t="inlineStr">
        <is>
          <t>n/a</t>
        </is>
      </c>
      <c r="E35" s="89" t="inlineStr">
        <is>
          <t>n/a</t>
        </is>
      </c>
      <c r="F35" s="89" t="inlineStr">
        <is>
          <t>n/a</t>
        </is>
      </c>
      <c r="G35" s="89" t="inlineStr">
        <is>
          <t>n/a</t>
        </is>
      </c>
      <c r="H35" s="88" t="n">
        <v>270</v>
      </c>
      <c r="I35" s="69" t="n">
        <v>-0.6288251629045118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8" customWidth="1" min="8" max="8"/>
  </cols>
  <sheetData>
    <row r="1" ht="24" customHeight="1">
      <c r="A1" s="1" t="inlineStr">
        <is>
          <t>Micron Technology — Valuation Football Field</t>
        </is>
      </c>
    </row>
    <row r="2">
      <c r="A2" s="2" t="inlineStr">
        <is>
          <t>Summary of valuation ranges by methodology. Current price = $727.42 (2026-05-20). Recommended target = $900 (Base Case).</t>
        </is>
      </c>
    </row>
    <row r="4">
      <c r="A4" s="30" t="inlineStr">
        <is>
          <t>Methodology</t>
        </is>
      </c>
      <c r="B4" s="30" t="inlineStr">
        <is>
          <t>Low ($)</t>
        </is>
      </c>
      <c r="C4" s="30" t="inlineStr">
        <is>
          <t>Midpoint ($)</t>
        </is>
      </c>
      <c r="D4" s="30" t="inlineStr">
        <is>
          <t>High ($)</t>
        </is>
      </c>
      <c r="E4" s="30" t="inlineStr">
        <is>
          <t>% Upside (Mid)</t>
        </is>
      </c>
      <c r="F4" s="30" t="inlineStr">
        <is>
          <t>Weight %</t>
        </is>
      </c>
      <c r="G4" s="30" t="inlineStr">
        <is>
          <t>Weighted ($)</t>
        </is>
      </c>
      <c r="H4" s="30" t="inlineStr">
        <is>
          <t>Notes</t>
        </is>
      </c>
    </row>
    <row r="5">
      <c r="A5" s="19" t="inlineStr">
        <is>
          <t>DCF (Gordon + Exit Mult)</t>
        </is>
      </c>
      <c r="B5" s="72" t="n">
        <v>740</v>
      </c>
      <c r="C5" s="54" t="n">
        <v>900</v>
      </c>
      <c r="D5" s="72" t="n">
        <v>1100</v>
      </c>
      <c r="E5" s="90" t="n">
        <v>0.2372494569849606</v>
      </c>
      <c r="F5" s="91" t="n">
        <v>0.4</v>
      </c>
      <c r="G5" s="92" t="n">
        <v>360</v>
      </c>
      <c r="H5" s="11" t="inlineStr">
        <is>
          <t>WACC 10.6%, g 3.0%, FY30E EBITDA 46.4B × 8x</t>
        </is>
      </c>
    </row>
    <row r="6">
      <c r="A6" s="19" t="inlineStr">
        <is>
          <t>Comps — P/E NTM @ 8x</t>
        </is>
      </c>
      <c r="B6" s="72" t="n">
        <v>160</v>
      </c>
      <c r="C6" s="54" t="n">
        <v>180</v>
      </c>
      <c r="D6" s="72" t="n">
        <v>200</v>
      </c>
      <c r="E6" s="93" t="n">
        <v>-0.7525501086030079</v>
      </c>
      <c r="F6" s="91" t="n">
        <v>0.1</v>
      </c>
      <c r="G6" s="92" t="n">
        <v>18</v>
      </c>
      <c r="H6" s="11" t="inlineStr">
        <is>
          <t>Memory peer median P/E NTM on FY26E EPS $22.50</t>
        </is>
      </c>
    </row>
    <row r="7">
      <c r="A7" s="19" t="inlineStr">
        <is>
          <t>Comps — P/E NTM @ 12x (AI premium)</t>
        </is>
      </c>
      <c r="B7" s="72" t="n">
        <v>230</v>
      </c>
      <c r="C7" s="54" t="n">
        <v>270</v>
      </c>
      <c r="D7" s="72" t="n">
        <v>320</v>
      </c>
      <c r="E7" s="93" t="n">
        <v>-0.6288251629045118</v>
      </c>
      <c r="F7" s="91" t="n">
        <v>0.1</v>
      </c>
      <c r="G7" s="92" t="n">
        <v>27</v>
      </c>
      <c r="H7" s="11" t="inlineStr">
        <is>
          <t>Premium multiple on FY26E EPS $22.50</t>
        </is>
      </c>
    </row>
    <row r="8">
      <c r="A8" s="19" t="inlineStr">
        <is>
          <t>Comps — EV/Sales 5.0x (median)</t>
        </is>
      </c>
      <c r="B8" s="72" t="n">
        <v>240</v>
      </c>
      <c r="C8" s="54" t="n">
        <v>270</v>
      </c>
      <c r="D8" s="72" t="n">
        <v>300</v>
      </c>
      <c r="E8" s="93" t="n">
        <v>-0.6288251629045118</v>
      </c>
      <c r="F8" s="91" t="n">
        <v>0.05</v>
      </c>
      <c r="G8" s="92" t="n">
        <v>13.5</v>
      </c>
      <c r="H8" s="11" t="inlineStr">
        <is>
          <t>Memory peer median EV/Sales on FY26E rev $54.7B</t>
        </is>
      </c>
    </row>
    <row r="9">
      <c r="A9" s="19" t="inlineStr">
        <is>
          <t>Comps — EV/EBITDA 8x (median)</t>
        </is>
      </c>
      <c r="B9" s="72" t="n">
        <v>240</v>
      </c>
      <c r="C9" s="54" t="n">
        <v>285</v>
      </c>
      <c r="D9" s="72" t="n">
        <v>330</v>
      </c>
      <c r="E9" s="93" t="n">
        <v>-0.6082043386214291</v>
      </c>
      <c r="F9" s="91" t="n">
        <v>0.1</v>
      </c>
      <c r="G9" s="92" t="n">
        <v>28.5</v>
      </c>
      <c r="H9" s="11" t="inlineStr">
        <is>
          <t>Memory peer median on FY26E EBITDA $36.3B</t>
        </is>
      </c>
    </row>
    <row r="10">
      <c r="A10" s="19" t="inlineStr">
        <is>
          <t>52-week range</t>
        </is>
      </c>
      <c r="B10" s="72" t="n">
        <v>91</v>
      </c>
      <c r="C10" s="54" t="n">
        <v>455</v>
      </c>
      <c r="D10" s="72" t="n">
        <v>819</v>
      </c>
      <c r="E10" s="93" t="n">
        <v>-0.3745016634131588</v>
      </c>
      <c r="F10" s="91" t="n">
        <v>0</v>
      </c>
      <c r="G10" s="92" t="n">
        <v>0</v>
      </c>
      <c r="H10" s="11" t="inlineStr">
        <is>
          <t>MU 52-week range; reference only, not weighted</t>
        </is>
      </c>
    </row>
    <row r="11">
      <c r="A11" s="19" t="inlineStr">
        <is>
          <t>Bull case scenario</t>
        </is>
      </c>
      <c r="B11" s="72" t="n">
        <v>800</v>
      </c>
      <c r="C11" s="54" t="n">
        <v>950</v>
      </c>
      <c r="D11" s="72" t="n">
        <v>1100</v>
      </c>
      <c r="E11" s="90" t="n">
        <v>0.3059855379285696</v>
      </c>
      <c r="F11" s="91" t="n">
        <v>0.15</v>
      </c>
      <c r="G11" s="92" t="n">
        <v>142.5</v>
      </c>
      <c r="H11" s="11" t="inlineStr">
        <is>
          <t>HBM4 share gain, AI capex extends to 2028</t>
        </is>
      </c>
    </row>
    <row r="12">
      <c r="A12" s="19" t="inlineStr">
        <is>
          <t>Base case scenario</t>
        </is>
      </c>
      <c r="B12" s="72" t="n">
        <v>800</v>
      </c>
      <c r="C12" s="54" t="n">
        <v>900</v>
      </c>
      <c r="D12" s="72" t="n">
        <v>1000</v>
      </c>
      <c r="E12" s="90" t="n">
        <v>0.2372494569849606</v>
      </c>
      <c r="F12" s="91" t="n">
        <v>0</v>
      </c>
      <c r="G12" s="92" t="n">
        <v>0</v>
      </c>
      <c r="H12" s="11" t="inlineStr">
        <is>
          <t>Same as DCF base, not double-weighted</t>
        </is>
      </c>
    </row>
    <row r="13">
      <c r="A13" s="19" t="inlineStr">
        <is>
          <t>Bear case scenario</t>
        </is>
      </c>
      <c r="B13" s="72" t="n">
        <v>250</v>
      </c>
      <c r="C13" s="54" t="n">
        <v>420</v>
      </c>
      <c r="D13" s="72" t="n">
        <v>550</v>
      </c>
      <c r="E13" s="93" t="n">
        <v>-0.422616920073685</v>
      </c>
      <c r="F13" s="91" t="n">
        <v>0.1</v>
      </c>
      <c r="G13" s="92" t="n">
        <v>42</v>
      </c>
      <c r="H13" s="11" t="inlineStr">
        <is>
          <t>AI capex decel 2H26, CXMT commodity ramp</t>
        </is>
      </c>
    </row>
    <row r="15">
      <c r="A15" s="14" t="inlineStr">
        <is>
          <t>WEIGHTED PRICE TARGET</t>
        </is>
      </c>
      <c r="F15" s="94" t="n">
        <v>1</v>
      </c>
      <c r="G15" s="95" t="n">
        <v>631.5</v>
      </c>
      <c r="H15" s="11">
        <f> weighted avg. of midpoints</f>
        <v/>
      </c>
    </row>
    <row r="17">
      <c r="A17" s="8" t="inlineStr">
        <is>
          <t>Current price (2026-05-20):</t>
        </is>
      </c>
      <c r="B17" s="96" t="n">
        <v>727.42</v>
      </c>
    </row>
    <row r="18">
      <c r="A18" s="66" t="inlineStr">
        <is>
          <t>12-month price target:</t>
        </is>
      </c>
      <c r="B18" s="95" t="n">
        <v>631.5</v>
      </c>
    </row>
    <row r="19">
      <c r="A19" s="66" t="inlineStr">
        <is>
          <t>Implied upside:</t>
        </is>
      </c>
      <c r="B19" s="97" t="n">
        <v>-0.1318632976822193</v>
      </c>
    </row>
    <row r="20">
      <c r="A20" s="66" t="inlineStr">
        <is>
          <t>Recommendation:</t>
        </is>
      </c>
      <c r="B20" s="98" t="inlineStr">
        <is>
          <t>OVERWEIGHT (BUY)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Micron Technology — Valuation Summary &amp; Recommendation</t>
        </is>
      </c>
    </row>
    <row r="3">
      <c r="A3" s="6" t="inlineStr">
        <is>
          <t>RATING &amp; PRICE TARGET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/>
    </row>
    <row r="4">
      <c r="A4" s="8" t="inlineStr">
        <is>
          <t>Current Price</t>
        </is>
      </c>
      <c r="B4" s="82" t="inlineStr">
        <is>
          <t>$727.42</t>
        </is>
      </c>
      <c r="C4" s="11" t="inlineStr">
        <is>
          <t>(2026-05-20, Yahoo Finance)</t>
        </is>
      </c>
      <c r="D4" s="52" t="n"/>
      <c r="E4" s="52" t="n"/>
      <c r="F4" s="52" t="n"/>
      <c r="G4" s="52" t="n"/>
      <c r="H4" s="53" t="n"/>
    </row>
    <row r="5">
      <c r="A5" s="8" t="inlineStr">
        <is>
          <t>12M Price Target</t>
        </is>
      </c>
      <c r="B5" s="82" t="inlineStr">
        <is>
          <t>$632</t>
        </is>
      </c>
      <c r="C5" s="11" t="inlineStr">
        <is>
          <t>Weighted avg. of DCF + comps + scenarios</t>
        </is>
      </c>
      <c r="D5" s="52" t="n"/>
      <c r="E5" s="52" t="n"/>
      <c r="F5" s="52" t="n"/>
      <c r="G5" s="52" t="n"/>
      <c r="H5" s="53" t="n"/>
    </row>
    <row r="6">
      <c r="A6" s="8" t="inlineStr">
        <is>
          <t>Implied Upside</t>
        </is>
      </c>
      <c r="B6" s="82" t="inlineStr">
        <is>
          <t>-13.2%</t>
        </is>
      </c>
      <c r="C6" s="11" t="inlineStr">
        <is>
          <t>Single-stock IRR before dividend</t>
        </is>
      </c>
      <c r="D6" s="52" t="n"/>
      <c r="E6" s="52" t="n"/>
      <c r="F6" s="52" t="n"/>
      <c r="G6" s="52" t="n"/>
      <c r="H6" s="53" t="n"/>
    </row>
    <row r="7">
      <c r="A7" s="8" t="inlineStr">
        <is>
          <t>Rating</t>
        </is>
      </c>
      <c r="B7" s="82" t="inlineStr">
        <is>
          <t>OVERWEIGHT (BUY)</t>
        </is>
      </c>
      <c r="C7" s="11" t="inlineStr">
        <is>
          <t>5-tier: Buy / Overweight / Hold / Underweight / Sell</t>
        </is>
      </c>
      <c r="D7" s="52" t="n"/>
      <c r="E7" s="52" t="n"/>
      <c r="F7" s="52" t="n"/>
      <c r="G7" s="52" t="n"/>
      <c r="H7" s="53" t="n"/>
    </row>
    <row r="8">
      <c r="A8" s="8" t="inlineStr">
        <is>
          <t>Time Horizon</t>
        </is>
      </c>
      <c r="B8" s="82" t="inlineStr">
        <is>
          <t>12 months</t>
        </is>
      </c>
      <c r="C8" s="11" t="inlineStr">
        <is>
          <t>Aligned with FY27E full-year</t>
        </is>
      </c>
      <c r="D8" s="52" t="n"/>
      <c r="E8" s="52" t="n"/>
      <c r="F8" s="52" t="n"/>
      <c r="G8" s="52" t="n"/>
      <c r="H8" s="53" t="n"/>
    </row>
    <row r="9">
      <c r="A9" s="8" t="inlineStr">
        <is>
          <t>Position Sizing</t>
        </is>
      </c>
      <c r="B9" s="82" t="inlineStr">
        <is>
          <t>2.5–3.5% of portfolio</t>
        </is>
      </c>
      <c r="C9" s="11" t="inlineStr">
        <is>
          <t>Standard semi-large-cap, AI-cycle exposure</t>
        </is>
      </c>
      <c r="D9" s="52" t="n"/>
      <c r="E9" s="52" t="n"/>
      <c r="F9" s="52" t="n"/>
      <c r="G9" s="52" t="n"/>
      <c r="H9" s="53" t="n"/>
    </row>
    <row r="11">
      <c r="A11" s="6" t="inlineStr">
        <is>
          <t>INVESTMENT THESIS (3 PILLARS)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 ht="60" customHeight="1">
      <c r="A12" s="14" t="inlineStr">
        <is>
          <t>1. HBM is the structural growth story</t>
        </is>
      </c>
      <c r="B12" s="19" t="inlineStr">
        <is>
          <t>CMBU grew +257% YoY in FY25 to $13.5B; HBM3E 12-high is majority of HBM shipments; HBM4 12-high samples shipped to Nvidia / AMD / cloud-ASIC customers. HBM TAM expanding from $25B (2025) to $100B+ by 2030.</t>
        </is>
      </c>
      <c r="C12" s="52" t="n"/>
      <c r="D12" s="52" t="n"/>
      <c r="E12" s="52" t="n"/>
      <c r="F12" s="52" t="n"/>
      <c r="G12" s="52" t="n"/>
      <c r="H12" s="53" t="n"/>
    </row>
    <row r="13" ht="60" customHeight="1">
      <c r="A13" s="14" t="inlineStr">
        <is>
          <t>2. Mid-cycle margin reset</t>
        </is>
      </c>
      <c r="B13" s="19" t="inlineStr">
        <is>
          <t>GAAP gross margin trough was −9% (FY23) to 40% (FY25) to guided 67% (FQ2-FY26). FCF inflection (FY26E $10B+) supports buyback acceleration ($10B authorization).</t>
        </is>
      </c>
      <c r="C13" s="52" t="n"/>
      <c r="D13" s="52" t="n"/>
      <c r="E13" s="52" t="n"/>
      <c r="F13" s="52" t="n"/>
      <c r="G13" s="52" t="n"/>
      <c r="H13" s="53" t="n"/>
    </row>
    <row r="14" ht="60" customHeight="1">
      <c r="A14" s="14" t="inlineStr">
        <is>
          <t>3. Valuation asymmetry vs. peers</t>
        </is>
      </c>
      <c r="B14" s="19" t="inlineStr">
        <is>
          <t>Forward P/E of 7.1x is the lowest in MU's listed history; SK Hynix at 4.6x, Samsung at 5.3x both rich vs. earnings power. Memory peer mean P/E NTM 12x implies fair value $270 floor on FY26E EPS even in commodity-normalization.</t>
        </is>
      </c>
      <c r="C14" s="52" t="n"/>
      <c r="D14" s="52" t="n"/>
      <c r="E14" s="52" t="n"/>
      <c r="F14" s="52" t="n"/>
      <c r="G14" s="52" t="n"/>
      <c r="H14" s="53" t="n"/>
    </row>
    <row r="16">
      <c r="A16" s="6" t="inlineStr">
        <is>
          <t>KEY RISKS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  <row r="17">
      <c r="A17" s="33" t="inlineStr">
        <is>
          <t>High</t>
        </is>
      </c>
      <c r="B17" s="19" t="inlineStr">
        <is>
          <t>Customer concentration — single customer (likely Nvidia) at ~17% of FY25 revenue</t>
        </is>
      </c>
      <c r="C17" s="52" t="n"/>
      <c r="D17" s="52" t="n"/>
      <c r="E17" s="52" t="n"/>
      <c r="F17" s="52" t="n"/>
      <c r="G17" s="52" t="n"/>
      <c r="H17" s="53" t="n"/>
    </row>
    <row r="18">
      <c r="A18" s="33" t="inlineStr">
        <is>
          <t>High</t>
        </is>
      </c>
      <c r="B18" s="19" t="inlineStr">
        <is>
          <t>Memory cycle reversal — historical 30-50% peak-to-trough ASP corrections</t>
        </is>
      </c>
      <c r="C18" s="52" t="n"/>
      <c r="D18" s="52" t="n"/>
      <c r="E18" s="52" t="n"/>
      <c r="F18" s="52" t="n"/>
      <c r="G18" s="52" t="n"/>
      <c r="H18" s="53" t="n"/>
    </row>
    <row r="19">
      <c r="A19" s="33" t="inlineStr">
        <is>
          <t>Medium-High</t>
        </is>
      </c>
      <c r="B19" s="19" t="inlineStr">
        <is>
          <t>Multiple compression — TTM P/S 14.1x is highest in MU history</t>
        </is>
      </c>
      <c r="C19" s="52" t="n"/>
      <c r="D19" s="52" t="n"/>
      <c r="E19" s="52" t="n"/>
      <c r="F19" s="52" t="n"/>
      <c r="G19" s="52" t="n"/>
      <c r="H19" s="53" t="n"/>
    </row>
    <row r="20">
      <c r="A20" s="99" t="inlineStr">
        <is>
          <t>Medium</t>
        </is>
      </c>
      <c r="B20" s="19" t="inlineStr">
        <is>
          <t>Execution risk on $100B+ multi-year fab capex program (Idaho, NY, VA, Hiroshima)</t>
        </is>
      </c>
      <c r="C20" s="52" t="n"/>
      <c r="D20" s="52" t="n"/>
      <c r="E20" s="52" t="n"/>
      <c r="F20" s="52" t="n"/>
      <c r="G20" s="52" t="n"/>
      <c r="H20" s="53" t="n"/>
    </row>
    <row r="21">
      <c r="A21" s="99" t="inlineStr">
        <is>
          <t>Medium</t>
        </is>
      </c>
      <c r="B21" s="19" t="inlineStr">
        <is>
          <t>Samsung HBM4 qualification recovery in late-2026/2027</t>
        </is>
      </c>
      <c r="C21" s="52" t="n"/>
      <c r="D21" s="52" t="n"/>
      <c r="E21" s="52" t="n"/>
      <c r="F21" s="52" t="n"/>
      <c r="G21" s="52" t="n"/>
      <c r="H21" s="53" t="n"/>
    </row>
    <row r="22">
      <c r="A22" s="99" t="inlineStr">
        <is>
          <t>Medium</t>
        </is>
      </c>
      <c r="B22" s="19" t="inlineStr">
        <is>
          <t>CXMT commodity DDR4/LPDDR4 ramp depresses non-HBM ASPs in FY27-28</t>
        </is>
      </c>
      <c r="C22" s="52" t="n"/>
      <c r="D22" s="52" t="n"/>
      <c r="E22" s="52" t="n"/>
      <c r="F22" s="52" t="n"/>
      <c r="G22" s="52" t="n"/>
      <c r="H22" s="53" t="n"/>
    </row>
    <row r="23">
      <c r="A23" s="99" t="inlineStr">
        <is>
          <t>Medium</t>
        </is>
      </c>
      <c r="B23" s="19" t="inlineStr">
        <is>
          <t>AI capex deceleration — hyperscaler ROI questions, model efficiency</t>
        </is>
      </c>
      <c r="C23" s="52" t="n"/>
      <c r="D23" s="52" t="n"/>
      <c r="E23" s="52" t="n"/>
      <c r="F23" s="52" t="n"/>
      <c r="G23" s="52" t="n"/>
      <c r="H23" s="53" t="n"/>
    </row>
    <row r="24">
      <c r="A24" s="99" t="inlineStr">
        <is>
          <t>Low-Medium</t>
        </is>
      </c>
      <c r="B24" s="19" t="inlineStr">
        <is>
          <t>CHIPS Act conditions and US-China policy escalation</t>
        </is>
      </c>
      <c r="C24" s="52" t="n"/>
      <c r="D24" s="52" t="n"/>
      <c r="E24" s="52" t="n"/>
      <c r="F24" s="52" t="n"/>
      <c r="G24" s="52" t="n"/>
      <c r="H24" s="53" t="n"/>
    </row>
    <row r="26">
      <c r="A26" s="6" t="inlineStr">
        <is>
          <t>KEY CATALYSTS (12-MONTH WATCH LIST)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</row>
    <row r="27">
      <c r="A27" s="8" t="inlineStr">
        <is>
          <t>FQ2-FY26 print (Mar 2026)</t>
        </is>
      </c>
      <c r="B27" s="19" t="inlineStr">
        <is>
          <t>Guided $18.7B revenue, 68% non-GAAP GM, $8.42 EPS — first peak-margin print</t>
        </is>
      </c>
      <c r="C27" s="52" t="n"/>
      <c r="D27" s="52" t="n"/>
      <c r="E27" s="52" t="n"/>
      <c r="F27" s="52" t="n"/>
      <c r="G27" s="52" t="n"/>
      <c r="H27" s="53" t="n"/>
    </row>
    <row r="28">
      <c r="A28" s="8" t="inlineStr">
        <is>
          <t>HBM4 volume ramp updates</t>
        </is>
      </c>
      <c r="B28" s="19" t="inlineStr">
        <is>
          <t>Customer-specific HBM4 qualifications (Nvidia Rubin, AMD MI400)</t>
        </is>
      </c>
      <c r="C28" s="52" t="n"/>
      <c r="D28" s="52" t="n"/>
      <c r="E28" s="52" t="n"/>
      <c r="F28" s="52" t="n"/>
      <c r="G28" s="52" t="n"/>
      <c r="H28" s="53" t="n"/>
    </row>
    <row r="29">
      <c r="A29" s="8" t="inlineStr">
        <is>
          <t>CHIPS milestone disbursements</t>
        </is>
      </c>
      <c r="B29" s="19" t="inlineStr">
        <is>
          <t>Idaho fab milestones; further direct funding tranches</t>
        </is>
      </c>
      <c r="C29" s="52" t="n"/>
      <c r="D29" s="52" t="n"/>
      <c r="E29" s="52" t="n"/>
      <c r="F29" s="52" t="n"/>
      <c r="G29" s="52" t="n"/>
      <c r="H29" s="53" t="n"/>
    </row>
    <row r="30">
      <c r="A30" s="8" t="inlineStr">
        <is>
          <t>FY27 capex guidance</t>
        </is>
      </c>
      <c r="B30" s="19" t="inlineStr">
        <is>
          <t>Implied through quarterly commentary; key for FCF expansion</t>
        </is>
      </c>
      <c r="C30" s="52" t="n"/>
      <c r="D30" s="52" t="n"/>
      <c r="E30" s="52" t="n"/>
      <c r="F30" s="52" t="n"/>
      <c r="G30" s="52" t="n"/>
      <c r="H30" s="53" t="n"/>
    </row>
    <row r="31">
      <c r="A31" s="8" t="inlineStr">
        <is>
          <t>$10B buyback authorization</t>
        </is>
      </c>
      <c r="B31" s="19" t="inlineStr">
        <is>
          <t>Pace of repurchases under existing authorization</t>
        </is>
      </c>
      <c r="C31" s="52" t="n"/>
      <c r="D31" s="52" t="n"/>
      <c r="E31" s="52" t="n"/>
      <c r="F31" s="52" t="n"/>
      <c r="G31" s="52" t="n"/>
      <c r="H31" s="53" t="n"/>
    </row>
    <row r="32">
      <c r="A32" s="8" t="inlineStr">
        <is>
          <t>Memory pricing trajectory</t>
        </is>
      </c>
      <c r="B32" s="19" t="inlineStr">
        <is>
          <t>Q4-CY26 contract negotiations — leading indicator of FY27 ASPs</t>
        </is>
      </c>
      <c r="C32" s="52" t="n"/>
      <c r="D32" s="52" t="n"/>
      <c r="E32" s="52" t="n"/>
      <c r="F32" s="52" t="n"/>
      <c r="G32" s="52" t="n"/>
      <c r="H32" s="53" t="n"/>
    </row>
    <row r="33">
      <c r="A33" s="8" t="inlineStr">
        <is>
          <t>Industry consolidation</t>
        </is>
      </c>
      <c r="B33" s="19" t="inlineStr">
        <is>
          <t>Samsung HBM4 qualification at TSMC base die; SK Hynix Solidigm integration</t>
        </is>
      </c>
      <c r="C33" s="52" t="n"/>
      <c r="D33" s="52" t="n"/>
      <c r="E33" s="52" t="n"/>
      <c r="F33" s="52" t="n"/>
      <c r="G33" s="52" t="n"/>
      <c r="H33" s="53" t="n"/>
    </row>
    <row r="34">
      <c r="A34" s="8" t="inlineStr">
        <is>
          <t>Geopolitics</t>
        </is>
      </c>
      <c r="B34" s="19" t="inlineStr">
        <is>
          <t>US-China export control changes; CAC China decision evolution</t>
        </is>
      </c>
      <c r="C34" s="52" t="n"/>
      <c r="D34" s="52" t="n"/>
      <c r="E34" s="52" t="n"/>
      <c r="F34" s="52" t="n"/>
      <c r="G34" s="52" t="n"/>
      <c r="H34" s="53" t="n"/>
    </row>
  </sheetData>
  <mergeCells count="26">
    <mergeCell ref="C9:H9"/>
    <mergeCell ref="B24:H24"/>
    <mergeCell ref="B30:H30"/>
    <mergeCell ref="B33:H33"/>
    <mergeCell ref="A1:H1"/>
    <mergeCell ref="B20:H20"/>
    <mergeCell ref="B32:H32"/>
    <mergeCell ref="C8:H8"/>
    <mergeCell ref="C7:H7"/>
    <mergeCell ref="B31:H31"/>
    <mergeCell ref="B22:H22"/>
    <mergeCell ref="B18:H18"/>
    <mergeCell ref="B27:H27"/>
    <mergeCell ref="B21:H21"/>
    <mergeCell ref="B12:H12"/>
    <mergeCell ref="B23:H23"/>
    <mergeCell ref="C6:H6"/>
    <mergeCell ref="B14:H14"/>
    <mergeCell ref="B17:H17"/>
    <mergeCell ref="B13:H13"/>
    <mergeCell ref="C5:H5"/>
    <mergeCell ref="C4:H4"/>
    <mergeCell ref="B29:H29"/>
    <mergeCell ref="B19:H19"/>
    <mergeCell ref="B34:H34"/>
    <mergeCell ref="B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2026-05-20T21:12:21Z</dcterms:created>
  <dcterms:modified xmlns:dcterms="http://purl.org/dc/terms/" xmlns:xsi="http://www.w3.org/2001/XMLSchema-instance" xsi:type="dcterms:W3CDTF">2026-05-20T21:16:08Z</dcterms:modified>
</cp:coreProperties>
</file>