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CF Inputs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DCF Sensitivity" sheetId="8" state="visible" r:id="rId8"/>
    <sheet xmlns:r="http://schemas.openxmlformats.org/officeDocument/2006/relationships" name="Comparable Companies" sheetId="9" state="visible" r:id="rId9"/>
    <sheet xmlns:r="http://schemas.openxmlformats.org/officeDocument/2006/relationships" name="Valu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0.0%;(0.0%);-"/>
    <numFmt numFmtId="166" formatCode="0.00&quot;x&quot;"/>
    <numFmt numFmtId="167" formatCode="0.0&quot;x&quot;"/>
    <numFmt numFmtId="168" formatCode="$0.00"/>
    <numFmt numFmtId="169" formatCode="0.000"/>
    <numFmt numFmtId="170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i val="1"/>
      <color rgb="00595959"/>
      <sz val="9"/>
    </font>
    <font>
      <name val="Calibri"/>
      <i val="1"/>
      <sz val="10"/>
    </font>
    <font>
      <name val="Calibri"/>
      <b val="1"/>
      <i val="1"/>
      <color rgb="00595959"/>
      <sz val="10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sz val="11"/>
    </font>
    <font>
      <name val="Calibri"/>
      <b val="1"/>
      <color rgb="00C5832B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70AD47"/>
      </patternFill>
    </fill>
    <fill>
      <patternFill patternType="solid">
        <fgColor rgb="00C5832B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4" fontId="6" fillId="2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165" fontId="2" fillId="0" borderId="1" applyAlignment="1" pivotButton="0" quotePrefix="0" xfId="0">
      <alignment horizontal="right"/>
    </xf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164" fontId="4" fillId="4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6" fillId="2" borderId="0" pivotButton="0" quotePrefix="0" xfId="0"/>
    <xf numFmtId="0" fontId="6" fillId="4" borderId="0" pivotButton="0" quotePrefix="0" xfId="0"/>
    <xf numFmtId="0" fontId="6" fillId="5" borderId="0" pivotButton="0" quotePrefix="0" xfId="0"/>
    <xf numFmtId="167" fontId="5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165" fontId="10" fillId="4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2" fontId="3" fillId="4" borderId="1" applyAlignment="1" pivotButton="0" quotePrefix="0" xfId="0">
      <alignment horizontal="right"/>
    </xf>
    <xf numFmtId="2" fontId="0" fillId="0" borderId="0" pivotButton="0" quotePrefix="0" xfId="0"/>
    <xf numFmtId="168" fontId="11" fillId="2" borderId="1" applyAlignment="1" pivotButton="0" quotePrefix="0" xfId="0">
      <alignment horizontal="right"/>
    </xf>
    <xf numFmtId="168" fontId="0" fillId="0" borderId="0" pivotButton="0" quotePrefix="0" xfId="0"/>
    <xf numFmtId="165" fontId="10" fillId="6" borderId="1" applyAlignment="1" pivotButton="0" quotePrefix="0" xfId="0">
      <alignment horizontal="right"/>
    </xf>
    <xf numFmtId="0" fontId="6" fillId="2" borderId="1" applyAlignment="1" pivotButton="0" quotePrefix="0" xfId="0">
      <alignment horizontal="center"/>
    </xf>
    <xf numFmtId="168" fontId="12" fillId="7" borderId="1" applyAlignment="1" pivotButton="0" quotePrefix="0" xfId="0">
      <alignment horizontal="right"/>
    </xf>
    <xf numFmtId="168" fontId="6" fillId="4" borderId="1" applyAlignment="1" pivotButton="0" quotePrefix="0" xfId="0">
      <alignment horizontal="right"/>
    </xf>
    <xf numFmtId="164" fontId="4" fillId="8" borderId="1" applyAlignment="1" pivotButton="0" quotePrefix="0" xfId="0">
      <alignment horizontal="right"/>
    </xf>
    <xf numFmtId="166" fontId="4" fillId="8" borderId="1" applyAlignment="1" pivotButton="0" quotePrefix="0" xfId="0">
      <alignment horizontal="right"/>
    </xf>
    <xf numFmtId="170" fontId="4" fillId="8" borderId="1" applyAlignment="1" pivotButton="0" quotePrefix="0" xfId="0">
      <alignment horizontal="right"/>
    </xf>
    <xf numFmtId="170" fontId="5" fillId="0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70" fontId="4" fillId="3" borderId="1" applyAlignment="1" pivotButton="0" quotePrefix="0" xfId="0">
      <alignment horizontal="right"/>
    </xf>
    <xf numFmtId="170" fontId="6" fillId="2" borderId="1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168" fontId="3" fillId="2" borderId="1" applyAlignment="1" pivotButton="0" quotePrefix="0" xfId="0">
      <alignment horizontal="right"/>
    </xf>
    <xf numFmtId="0" fontId="11" fillId="5" borderId="0" pivotButton="0" quotePrefix="0" xfId="0"/>
    <xf numFmtId="168" fontId="13" fillId="0" borderId="1" applyAlignment="1" pivotButton="0" quotePrefix="0" xfId="0">
      <alignment horizontal="right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Nokia Corporation (NYSE: NOK) — Revenue Build</t>
        </is>
      </c>
    </row>
    <row r="2">
      <c r="A2" s="2" t="inlineStr">
        <is>
          <t>EUR millions. Historical from 20-F FY2025 (Note 2.1 Net sales). Projections analyst estimate.</t>
        </is>
      </c>
    </row>
    <row r="4">
      <c r="A4" s="3" t="inlineStr">
        <is>
          <t>Revenue line (EUR M)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FY2026E</t>
        </is>
      </c>
      <c r="F4" s="3" t="inlineStr">
        <is>
          <t>FY2027E</t>
        </is>
      </c>
      <c r="G4" s="3" t="inlineStr">
        <is>
          <t>FY2028E</t>
        </is>
      </c>
      <c r="H4" s="3" t="inlineStr">
        <is>
          <t>FY2029E</t>
        </is>
      </c>
      <c r="I4" s="3" t="inlineStr">
        <is>
          <t>FY2030E</t>
        </is>
      </c>
    </row>
    <row r="5">
      <c r="A5" s="4" t="inlineStr">
        <is>
          <t>Network Infrastructure</t>
        </is>
      </c>
    </row>
    <row r="6">
      <c r="A6" s="5" t="inlineStr">
        <is>
          <t xml:space="preserve">  Optical Networks</t>
        </is>
      </c>
      <c r="B6" s="6" t="n">
        <v>1300</v>
      </c>
      <c r="C6" s="6" t="n">
        <v>1636</v>
      </c>
      <c r="D6" s="6" t="n">
        <v>3019</v>
      </c>
      <c r="E6" s="6" t="n">
        <v>3621</v>
      </c>
      <c r="F6" s="6" t="n">
        <v>4055</v>
      </c>
      <c r="G6" s="6" t="n">
        <v>4339</v>
      </c>
      <c r="H6" s="6" t="n">
        <v>4513</v>
      </c>
      <c r="I6" s="6" t="n">
        <v>4694</v>
      </c>
    </row>
    <row r="7">
      <c r="A7" s="5" t="inlineStr">
        <is>
          <t xml:space="preserve">  IP Networks</t>
        </is>
      </c>
      <c r="B7" s="6" t="n">
        <v>2700</v>
      </c>
      <c r="C7" s="6" t="n">
        <v>2583</v>
      </c>
      <c r="D7" s="6" t="n">
        <v>2594</v>
      </c>
      <c r="E7" s="6" t="n">
        <v>2879</v>
      </c>
      <c r="F7" s="6" t="n">
        <v>3138</v>
      </c>
      <c r="G7" s="6" t="n">
        <v>3327</v>
      </c>
      <c r="H7" s="6" t="n">
        <v>3460</v>
      </c>
      <c r="I7" s="6" t="n">
        <v>3598</v>
      </c>
    </row>
    <row r="8">
      <c r="A8" s="5" t="inlineStr">
        <is>
          <t xml:space="preserve">  Fixed Networks</t>
        </is>
      </c>
      <c r="B8" s="6" t="n">
        <v>2400</v>
      </c>
      <c r="C8" s="6" t="n">
        <v>2299</v>
      </c>
      <c r="D8" s="6" t="n">
        <v>2373</v>
      </c>
      <c r="E8" s="6" t="n">
        <v>2444</v>
      </c>
      <c r="F8" s="6" t="n">
        <v>2493</v>
      </c>
      <c r="G8" s="6" t="n">
        <v>2543</v>
      </c>
      <c r="H8" s="6" t="n">
        <v>2581</v>
      </c>
      <c r="I8" s="6" t="n">
        <v>2620</v>
      </c>
    </row>
    <row r="9">
      <c r="A9" s="4" t="inlineStr">
        <is>
          <t>Network Infrastructure subtotal</t>
        </is>
      </c>
      <c r="B9" s="7">
        <f>SUM(B6:B8)</f>
        <v/>
      </c>
      <c r="C9" s="7">
        <f>SUM(C6:C8)</f>
        <v/>
      </c>
      <c r="D9" s="7">
        <f>SUM(D6:D8)</f>
        <v/>
      </c>
      <c r="E9" s="7">
        <f>SUM(E6:E8)</f>
        <v/>
      </c>
      <c r="F9" s="7">
        <f>SUM(F6:F8)</f>
        <v/>
      </c>
      <c r="G9" s="7">
        <f>SUM(G6:G8)</f>
        <v/>
      </c>
      <c r="H9" s="7">
        <f>SUM(H6:H8)</f>
        <v/>
      </c>
      <c r="I9" s="7">
        <f>SUM(I6:I8)</f>
        <v/>
      </c>
    </row>
    <row r="10">
      <c r="A10" s="4" t="inlineStr">
        <is>
          <t>Mobile Networks</t>
        </is>
      </c>
    </row>
    <row r="11">
      <c r="A11" s="5" t="inlineStr">
        <is>
          <t xml:space="preserve">  AirScale RAN &amp; radios</t>
        </is>
      </c>
      <c r="B11" s="6" t="n">
        <v>6800</v>
      </c>
      <c r="C11" s="6" t="n">
        <v>6700</v>
      </c>
      <c r="D11" s="6" t="n">
        <v>6500</v>
      </c>
      <c r="E11" s="6" t="n">
        <v>6435</v>
      </c>
      <c r="F11" s="6" t="n">
        <v>6371</v>
      </c>
      <c r="G11" s="6" t="n">
        <v>6306</v>
      </c>
      <c r="H11" s="6" t="n">
        <v>6243</v>
      </c>
      <c r="I11" s="6" t="n">
        <v>6181</v>
      </c>
    </row>
    <row r="12">
      <c r="A12" s="5" t="inlineStr">
        <is>
          <t xml:space="preserve">  Microwave, FWA CPE, Site Implementation</t>
        </is>
      </c>
      <c r="B12" s="6" t="n">
        <v>800</v>
      </c>
      <c r="C12" s="6" t="n">
        <v>800</v>
      </c>
      <c r="D12" s="6" t="n">
        <v>826</v>
      </c>
      <c r="E12" s="6" t="n">
        <v>850</v>
      </c>
      <c r="F12" s="6" t="n">
        <v>875</v>
      </c>
      <c r="G12" s="6" t="n">
        <v>902</v>
      </c>
      <c r="H12" s="6" t="n">
        <v>929</v>
      </c>
      <c r="I12" s="6" t="n">
        <v>957</v>
      </c>
    </row>
    <row r="13">
      <c r="A13" s="5" t="inlineStr">
        <is>
          <t xml:space="preserve">  Managed Services (recast)</t>
        </is>
      </c>
      <c r="B13" s="6" t="n">
        <v>550</v>
      </c>
      <c r="C13" s="6" t="n">
        <v>658</v>
      </c>
      <c r="D13" s="6" t="n">
        <v>480</v>
      </c>
      <c r="E13" s="6" t="n">
        <v>470</v>
      </c>
      <c r="F13" s="6" t="n">
        <v>460</v>
      </c>
      <c r="G13" s="6" t="n">
        <v>451</v>
      </c>
      <c r="H13" s="6" t="n">
        <v>442</v>
      </c>
      <c r="I13" s="6" t="n">
        <v>433</v>
      </c>
    </row>
    <row r="14">
      <c r="A14" s="4" t="inlineStr">
        <is>
          <t>Mobile Networks subtotal</t>
        </is>
      </c>
      <c r="B14" s="7">
        <f>SUM(B11:B13)</f>
        <v/>
      </c>
      <c r="C14" s="7">
        <f>SUM(C11:C13)</f>
        <v/>
      </c>
      <c r="D14" s="7">
        <f>SUM(D11:D13)</f>
        <v/>
      </c>
      <c r="E14" s="7">
        <f>SUM(E11:E13)</f>
        <v/>
      </c>
      <c r="F14" s="7">
        <f>SUM(F11:F13)</f>
        <v/>
      </c>
      <c r="G14" s="7">
        <f>SUM(G11:G13)</f>
        <v/>
      </c>
      <c r="H14" s="7">
        <f>SUM(H11:H13)</f>
        <v/>
      </c>
      <c r="I14" s="7">
        <f>SUM(I11:I13)</f>
        <v/>
      </c>
    </row>
    <row r="15">
      <c r="A15" s="4" t="inlineStr">
        <is>
          <t>Cloud and Network Services</t>
        </is>
      </c>
    </row>
    <row r="16">
      <c r="A16" s="5" t="inlineStr">
        <is>
          <t xml:space="preserve">  5G Core / IMS / SDM</t>
        </is>
      </c>
      <c r="B16" s="6" t="n">
        <v>950</v>
      </c>
      <c r="C16" s="6" t="n">
        <v>1100</v>
      </c>
      <c r="D16" s="6" t="n">
        <v>1150</v>
      </c>
      <c r="E16" s="6" t="n">
        <v>1208</v>
      </c>
      <c r="F16" s="6" t="n">
        <v>1268</v>
      </c>
      <c r="G16" s="6" t="n">
        <v>1331</v>
      </c>
      <c r="H16" s="6" t="n">
        <v>1397</v>
      </c>
      <c r="I16" s="6" t="n">
        <v>1467</v>
      </c>
    </row>
    <row r="17">
      <c r="A17" s="5" t="inlineStr">
        <is>
          <t xml:space="preserve">  Network applications &amp; analytics</t>
        </is>
      </c>
      <c r="B17" s="6" t="n">
        <v>600</v>
      </c>
      <c r="C17" s="6" t="n">
        <v>580</v>
      </c>
      <c r="D17" s="6" t="n">
        <v>590</v>
      </c>
      <c r="E17" s="6" t="n">
        <v>602</v>
      </c>
      <c r="F17" s="6" t="n">
        <v>614</v>
      </c>
      <c r="G17" s="6" t="n">
        <v>626</v>
      </c>
      <c r="H17" s="6" t="n">
        <v>639</v>
      </c>
      <c r="I17" s="6" t="n">
        <v>652</v>
      </c>
    </row>
    <row r="18">
      <c r="A18" s="5" t="inlineStr">
        <is>
          <t xml:space="preserve">  Private wireless (DAC)</t>
        </is>
      </c>
      <c r="B18" s="6" t="n">
        <v>200</v>
      </c>
      <c r="C18" s="6" t="n">
        <v>260</v>
      </c>
      <c r="D18" s="6" t="n">
        <v>320</v>
      </c>
      <c r="E18" s="6" t="n">
        <v>384</v>
      </c>
      <c r="F18" s="6" t="n">
        <v>461</v>
      </c>
      <c r="G18" s="6" t="n">
        <v>553</v>
      </c>
      <c r="H18" s="6" t="n">
        <v>663</v>
      </c>
      <c r="I18" s="6" t="n">
        <v>796</v>
      </c>
    </row>
    <row r="19">
      <c r="A19" s="5" t="inlineStr">
        <is>
          <t xml:space="preserve">  Cybersecurity (NetGuard)</t>
        </is>
      </c>
      <c r="B19" s="6" t="n">
        <v>150</v>
      </c>
      <c r="C19" s="6" t="n">
        <v>170</v>
      </c>
      <c r="D19" s="6" t="n">
        <v>180</v>
      </c>
      <c r="E19" s="6" t="n">
        <v>189</v>
      </c>
      <c r="F19" s="6" t="n">
        <v>199</v>
      </c>
      <c r="G19" s="6" t="n">
        <v>209</v>
      </c>
      <c r="H19" s="6" t="n">
        <v>219</v>
      </c>
      <c r="I19" s="6" t="n">
        <v>230</v>
      </c>
    </row>
    <row r="20">
      <c r="A20" s="5" t="inlineStr">
        <is>
          <t xml:space="preserve">  Managed/Professional services</t>
        </is>
      </c>
      <c r="B20" s="6" t="n">
        <v>420</v>
      </c>
      <c r="C20" s="6" t="n">
        <v>479</v>
      </c>
      <c r="D20" s="6" t="n">
        <v>366</v>
      </c>
      <c r="E20" s="6" t="n">
        <v>360</v>
      </c>
      <c r="F20" s="6" t="n">
        <v>354</v>
      </c>
      <c r="G20" s="6" t="n">
        <v>348</v>
      </c>
      <c r="H20" s="6" t="n">
        <v>342</v>
      </c>
      <c r="I20" s="6" t="n">
        <v>337</v>
      </c>
    </row>
    <row r="21">
      <c r="A21" s="4" t="inlineStr">
        <is>
          <t>Cloud and Network Services subtotal</t>
        </is>
      </c>
      <c r="B21" s="7">
        <f>SUM(B16:B20)</f>
        <v/>
      </c>
      <c r="C21" s="7">
        <f>SUM(C16:C20)</f>
        <v/>
      </c>
      <c r="D21" s="7">
        <f>SUM(D16:D20)</f>
        <v/>
      </c>
      <c r="E21" s="7">
        <f>SUM(E16:E20)</f>
        <v/>
      </c>
      <c r="F21" s="7">
        <f>SUM(F16:F20)</f>
        <v/>
      </c>
      <c r="G21" s="7">
        <f>SUM(G16:G20)</f>
        <v/>
      </c>
      <c r="H21" s="7">
        <f>SUM(H16:H20)</f>
        <v/>
      </c>
      <c r="I21" s="7">
        <f>SUM(I16:I20)</f>
        <v/>
      </c>
    </row>
    <row r="22">
      <c r="A22" s="4" t="inlineStr">
        <is>
          <t>Nokia Technologies</t>
        </is>
      </c>
    </row>
    <row r="23">
      <c r="A23" s="5" t="inlineStr">
        <is>
          <t xml:space="preserve">  Smartphone SEP licensing</t>
        </is>
      </c>
      <c r="B23" s="6" t="n">
        <v>800</v>
      </c>
      <c r="C23" s="6" t="n">
        <v>1500</v>
      </c>
      <c r="D23" s="6" t="n">
        <v>1100</v>
      </c>
      <c r="E23" s="6" t="n">
        <v>1100</v>
      </c>
      <c r="F23" s="6" t="n">
        <v>1133</v>
      </c>
      <c r="G23" s="6" t="n">
        <v>1167</v>
      </c>
      <c r="H23" s="6" t="n">
        <v>1202</v>
      </c>
      <c r="I23" s="6" t="n">
        <v>1238</v>
      </c>
    </row>
    <row r="24">
      <c r="A24" s="5" t="inlineStr">
        <is>
          <t xml:space="preserve">  Multimedia / video codecs</t>
        </is>
      </c>
      <c r="B24" s="6" t="n">
        <v>180</v>
      </c>
      <c r="C24" s="6" t="n">
        <v>250</v>
      </c>
      <c r="D24" s="6" t="n">
        <v>250</v>
      </c>
      <c r="E24" s="6" t="n">
        <v>280</v>
      </c>
      <c r="F24" s="6" t="n">
        <v>314</v>
      </c>
      <c r="G24" s="6" t="n">
        <v>351</v>
      </c>
      <c r="H24" s="6" t="n">
        <v>393</v>
      </c>
      <c r="I24" s="6" t="n">
        <v>441</v>
      </c>
    </row>
    <row r="25">
      <c r="A25" s="5" t="inlineStr">
        <is>
          <t xml:space="preserve">  Auto / IoT / consumer electronics</t>
        </is>
      </c>
      <c r="B25" s="6" t="n">
        <v>105</v>
      </c>
      <c r="C25" s="6" t="n">
        <v>178</v>
      </c>
      <c r="D25" s="6" t="n">
        <v>151</v>
      </c>
      <c r="E25" s="6" t="n">
        <v>175</v>
      </c>
      <c r="F25" s="6" t="n">
        <v>203</v>
      </c>
      <c r="G25" s="6" t="n">
        <v>235</v>
      </c>
      <c r="H25" s="6" t="n">
        <v>273</v>
      </c>
      <c r="I25" s="6" t="n">
        <v>317</v>
      </c>
    </row>
    <row r="26">
      <c r="A26" s="4" t="inlineStr">
        <is>
          <t>Nokia Technologies subtotal</t>
        </is>
      </c>
      <c r="B26" s="7">
        <f>SUM(B23:B25)</f>
        <v/>
      </c>
      <c r="C26" s="7">
        <f>SUM(C23:C25)</f>
        <v/>
      </c>
      <c r="D26" s="7">
        <f>SUM(D23:D25)</f>
        <v/>
      </c>
      <c r="E26" s="7">
        <f>SUM(E23:E25)</f>
        <v/>
      </c>
      <c r="F26" s="7">
        <f>SUM(F23:F25)</f>
        <v/>
      </c>
      <c r="G26" s="7">
        <f>SUM(G23:G25)</f>
        <v/>
      </c>
      <c r="H26" s="7">
        <f>SUM(H23:H25)</f>
        <v/>
      </c>
      <c r="I26" s="7">
        <f>SUM(I23:I25)</f>
        <v/>
      </c>
    </row>
    <row r="27">
      <c r="A27" s="4" t="inlineStr">
        <is>
          <t>Group Common and Other</t>
        </is>
      </c>
      <c r="B27" s="6" t="n">
        <v>119</v>
      </c>
      <c r="C27" s="6" t="n">
        <v>27</v>
      </c>
      <c r="D27" s="6" t="n">
        <v>-10</v>
      </c>
      <c r="E27" s="6" t="n">
        <v>-10</v>
      </c>
      <c r="F27" s="6" t="n">
        <v>-10</v>
      </c>
      <c r="G27" s="6" t="n">
        <v>-10</v>
      </c>
      <c r="H27" s="6" t="n">
        <v>-10</v>
      </c>
      <c r="I27" s="6" t="n">
        <v>-10</v>
      </c>
    </row>
    <row r="28">
      <c r="A28" s="4" t="inlineStr">
        <is>
          <t>TOTAL NET SALES</t>
        </is>
      </c>
      <c r="B28" s="8">
        <f>B9+B14+B21+B26+B27</f>
        <v/>
      </c>
      <c r="C28" s="8">
        <f>C9+C14+C21+C26+C27</f>
        <v/>
      </c>
      <c r="D28" s="8">
        <f>D9+D14+D21+D26+D27</f>
        <v/>
      </c>
      <c r="E28" s="8">
        <f>E9+E14+E21+E26+E27</f>
        <v/>
      </c>
      <c r="F28" s="8">
        <f>F9+F14+F21+F26+F27</f>
        <v/>
      </c>
      <c r="G28" s="8">
        <f>G9+G14+G21+G26+G27</f>
        <v/>
      </c>
      <c r="H28" s="8">
        <f>H9+H14+H21+H26+H27</f>
        <v/>
      </c>
      <c r="I28" s="8">
        <f>I9+I14+I21+I26+I27</f>
        <v/>
      </c>
    </row>
    <row r="30">
      <c r="A30" s="9" t="inlineStr">
        <is>
          <t>YoY growth (%) — implied</t>
        </is>
      </c>
    </row>
    <row r="31">
      <c r="A31" s="10" t="inlineStr">
        <is>
          <t>Total net sales YoY</t>
        </is>
      </c>
      <c r="C31" s="11">
        <f>C28/B28-1</f>
        <v/>
      </c>
      <c r="D31" s="11">
        <f>D28/C28-1</f>
        <v/>
      </c>
      <c r="E31" s="11">
        <f>E28/D28-1</f>
        <v/>
      </c>
      <c r="F31" s="11">
        <f>F28/E28-1</f>
        <v/>
      </c>
      <c r="G31" s="11">
        <f>G28/F28-1</f>
        <v/>
      </c>
      <c r="H31" s="11">
        <f>H28/G28-1</f>
        <v/>
      </c>
      <c r="I31" s="11">
        <f>I28/H28-1</f>
        <v/>
      </c>
    </row>
    <row r="34">
      <c r="A34" s="3" t="inlineStr">
        <is>
          <t>Net sales by region (EUR M)</t>
        </is>
      </c>
      <c r="B34" s="3" t="inlineStr">
        <is>
          <t>FY2023A</t>
        </is>
      </c>
      <c r="C34" s="3" t="inlineStr">
        <is>
          <t>FY2024A</t>
        </is>
      </c>
      <c r="D34" s="3" t="inlineStr">
        <is>
          <t>FY2025A</t>
        </is>
      </c>
      <c r="E34" s="3" t="inlineStr">
        <is>
          <t>FY2026E</t>
        </is>
      </c>
      <c r="F34" s="3" t="inlineStr">
        <is>
          <t>FY2027E</t>
        </is>
      </c>
      <c r="G34" s="3" t="inlineStr">
        <is>
          <t>FY2028E</t>
        </is>
      </c>
      <c r="H34" s="3" t="inlineStr">
        <is>
          <t>FY2029E</t>
        </is>
      </c>
      <c r="I34" s="3" t="inlineStr">
        <is>
          <t>FY2030E</t>
        </is>
      </c>
    </row>
    <row r="35">
      <c r="A35" s="5" t="inlineStr">
        <is>
          <t xml:space="preserve">  North America</t>
        </is>
      </c>
      <c r="B35" s="6" t="n">
        <v>5733</v>
      </c>
      <c r="C35" s="6" t="n">
        <v>5381</v>
      </c>
      <c r="D35" s="6" t="n">
        <v>6201</v>
      </c>
      <c r="E35" s="6" t="n">
        <v>6821</v>
      </c>
      <c r="F35" s="6" t="n">
        <v>7298</v>
      </c>
      <c r="G35" s="6" t="n">
        <v>7663</v>
      </c>
      <c r="H35" s="6" t="n">
        <v>7969</v>
      </c>
      <c r="I35" s="6" t="n">
        <v>8208</v>
      </c>
    </row>
    <row r="36">
      <c r="A36" s="5" t="inlineStr">
        <is>
          <t xml:space="preserve">  Latin America</t>
        </is>
      </c>
      <c r="B36" s="6" t="n">
        <v>1046</v>
      </c>
      <c r="C36" s="6" t="n">
        <v>895</v>
      </c>
      <c r="D36" s="6" t="n">
        <v>784</v>
      </c>
      <c r="E36" s="6" t="n">
        <v>815</v>
      </c>
      <c r="F36" s="6" t="n">
        <v>848</v>
      </c>
      <c r="G36" s="6" t="n">
        <v>882</v>
      </c>
      <c r="H36" s="6" t="n">
        <v>917</v>
      </c>
      <c r="I36" s="6" t="n">
        <v>954</v>
      </c>
    </row>
    <row r="37">
      <c r="A37" s="5" t="inlineStr">
        <is>
          <t xml:space="preserve">  Greater China</t>
        </is>
      </c>
      <c r="B37" s="6" t="n">
        <v>1303</v>
      </c>
      <c r="C37" s="6" t="n">
        <v>1134</v>
      </c>
      <c r="D37" s="6" t="n">
        <v>913</v>
      </c>
      <c r="E37" s="6" t="n">
        <v>868</v>
      </c>
      <c r="F37" s="6" t="n">
        <v>851</v>
      </c>
      <c r="G37" s="6" t="n">
        <v>851</v>
      </c>
      <c r="H37" s="6" t="n">
        <v>868</v>
      </c>
      <c r="I37" s="6" t="n">
        <v>894</v>
      </c>
    </row>
    <row r="38">
      <c r="A38" s="5" t="inlineStr">
        <is>
          <t xml:space="preserve">  India</t>
        </is>
      </c>
      <c r="B38" s="6" t="n">
        <v>2842</v>
      </c>
      <c r="C38" s="6" t="n">
        <v>1373</v>
      </c>
      <c r="D38" s="6" t="n">
        <v>1534</v>
      </c>
      <c r="E38" s="6" t="n">
        <v>1641</v>
      </c>
      <c r="F38" s="6" t="n">
        <v>1739</v>
      </c>
      <c r="G38" s="6" t="n">
        <v>1826</v>
      </c>
      <c r="H38" s="6" t="n">
        <v>1899</v>
      </c>
      <c r="I38" s="6" t="n">
        <v>1956</v>
      </c>
    </row>
    <row r="39">
      <c r="A39" s="5" t="inlineStr">
        <is>
          <t xml:space="preserve">  Rest of APAC</t>
        </is>
      </c>
      <c r="B39" s="6" t="n">
        <v>2291</v>
      </c>
      <c r="C39" s="6" t="n">
        <v>2042</v>
      </c>
      <c r="D39" s="6" t="n">
        <v>2192</v>
      </c>
      <c r="E39" s="6" t="n">
        <v>2280</v>
      </c>
      <c r="F39" s="6" t="n">
        <v>2371</v>
      </c>
      <c r="G39" s="6" t="n">
        <v>2466</v>
      </c>
      <c r="H39" s="6" t="n">
        <v>2540</v>
      </c>
      <c r="I39" s="6" t="n">
        <v>2616</v>
      </c>
    </row>
    <row r="40">
      <c r="A40" s="5" t="inlineStr">
        <is>
          <t xml:space="preserve">  Europe</t>
        </is>
      </c>
      <c r="B40" s="6" t="n">
        <v>5873</v>
      </c>
      <c r="C40" s="6" t="n">
        <v>6362</v>
      </c>
      <c r="D40" s="6" t="n">
        <v>6165</v>
      </c>
      <c r="E40" s="6" t="n">
        <v>6288</v>
      </c>
      <c r="F40" s="6" t="n">
        <v>6414</v>
      </c>
      <c r="G40" s="6" t="n">
        <v>6478</v>
      </c>
      <c r="H40" s="6" t="n">
        <v>6543</v>
      </c>
      <c r="I40" s="6" t="n">
        <v>6608</v>
      </c>
    </row>
    <row r="41">
      <c r="A41" s="5" t="inlineStr">
        <is>
          <t xml:space="preserve">  Middle East &amp; Africa</t>
        </is>
      </c>
      <c r="B41" s="6" t="n">
        <v>2050</v>
      </c>
      <c r="C41" s="6" t="n">
        <v>2033</v>
      </c>
      <c r="D41" s="6" t="n">
        <v>2100</v>
      </c>
      <c r="E41" s="6" t="n">
        <v>2163</v>
      </c>
      <c r="F41" s="6" t="n">
        <v>2228</v>
      </c>
      <c r="G41" s="6" t="n">
        <v>2295</v>
      </c>
      <c r="H41" s="6" t="n">
        <v>2364</v>
      </c>
      <c r="I41" s="6" t="n">
        <v>2435</v>
      </c>
    </row>
    <row r="42">
      <c r="A42" s="4" t="inlineStr">
        <is>
          <t>Total (cross-check)</t>
        </is>
      </c>
      <c r="B42" s="7">
        <f>SUM(B35:B41)</f>
        <v/>
      </c>
      <c r="C42" s="7">
        <f>SUM(C35:C41)</f>
        <v/>
      </c>
      <c r="D42" s="7">
        <f>SUM(D35:D41)</f>
        <v/>
      </c>
      <c r="E42" s="7">
        <f>SUM(E35:E41)</f>
        <v/>
      </c>
      <c r="F42" s="7">
        <f>SUM(F35:F41)</f>
        <v/>
      </c>
      <c r="G42" s="7">
        <f>SUM(G35:G41)</f>
        <v/>
      </c>
      <c r="H42" s="7">
        <f>SUM(H35:H41)</f>
        <v/>
      </c>
      <c r="I42" s="7">
        <f>SUM(I35:I41)</f>
        <v/>
      </c>
    </row>
    <row r="44">
      <c r="A44" s="3" t="inlineStr">
        <is>
          <t>Region as % of group</t>
        </is>
      </c>
      <c r="B44" s="3" t="inlineStr">
        <is>
          <t>FY2023A</t>
        </is>
      </c>
      <c r="C44" s="3" t="inlineStr">
        <is>
          <t>FY2024A</t>
        </is>
      </c>
      <c r="D44" s="3" t="inlineStr">
        <is>
          <t>FY2025A</t>
        </is>
      </c>
      <c r="E44" s="3" t="inlineStr">
        <is>
          <t>FY2026E</t>
        </is>
      </c>
      <c r="F44" s="3" t="inlineStr">
        <is>
          <t>FY2027E</t>
        </is>
      </c>
      <c r="G44" s="3" t="inlineStr">
        <is>
          <t>FY2028E</t>
        </is>
      </c>
      <c r="H44" s="3" t="inlineStr">
        <is>
          <t>FY2029E</t>
        </is>
      </c>
      <c r="I44" s="3" t="inlineStr">
        <is>
          <t>FY2030E</t>
        </is>
      </c>
    </row>
    <row r="45">
      <c r="A45" s="12" t="inlineStr">
        <is>
          <t xml:space="preserve">  North America</t>
        </is>
      </c>
      <c r="B45" s="11">
        <f>B35/B28</f>
        <v/>
      </c>
      <c r="C45" s="11">
        <f>C35/C28</f>
        <v/>
      </c>
      <c r="D45" s="11">
        <f>D35/D28</f>
        <v/>
      </c>
      <c r="E45" s="11">
        <f>E35/E28</f>
        <v/>
      </c>
      <c r="F45" s="11">
        <f>F35/F28</f>
        <v/>
      </c>
      <c r="G45" s="11">
        <f>G35/G28</f>
        <v/>
      </c>
      <c r="H45" s="11">
        <f>H35/H28</f>
        <v/>
      </c>
      <c r="I45" s="11">
        <f>I35/I28</f>
        <v/>
      </c>
    </row>
    <row r="46">
      <c r="A46" s="12" t="inlineStr">
        <is>
          <t xml:space="preserve">  Latin America</t>
        </is>
      </c>
      <c r="B46" s="11">
        <f>B36/B28</f>
        <v/>
      </c>
      <c r="C46" s="11">
        <f>C36/C28</f>
        <v/>
      </c>
      <c r="D46" s="11">
        <f>D36/D28</f>
        <v/>
      </c>
      <c r="E46" s="11">
        <f>E36/E28</f>
        <v/>
      </c>
      <c r="F46" s="11">
        <f>F36/F28</f>
        <v/>
      </c>
      <c r="G46" s="11">
        <f>G36/G28</f>
        <v/>
      </c>
      <c r="H46" s="11">
        <f>H36/H28</f>
        <v/>
      </c>
      <c r="I46" s="11">
        <f>I36/I28</f>
        <v/>
      </c>
    </row>
    <row r="47">
      <c r="A47" s="12" t="inlineStr">
        <is>
          <t xml:space="preserve">  Greater China</t>
        </is>
      </c>
      <c r="B47" s="11">
        <f>B37/B28</f>
        <v/>
      </c>
      <c r="C47" s="11">
        <f>C37/C28</f>
        <v/>
      </c>
      <c r="D47" s="11">
        <f>D37/D28</f>
        <v/>
      </c>
      <c r="E47" s="11">
        <f>E37/E28</f>
        <v/>
      </c>
      <c r="F47" s="11">
        <f>F37/F28</f>
        <v/>
      </c>
      <c r="G47" s="11">
        <f>G37/G28</f>
        <v/>
      </c>
      <c r="H47" s="11">
        <f>H37/H28</f>
        <v/>
      </c>
      <c r="I47" s="11">
        <f>I37/I28</f>
        <v/>
      </c>
    </row>
    <row r="48">
      <c r="A48" s="12" t="inlineStr">
        <is>
          <t xml:space="preserve">  India</t>
        </is>
      </c>
      <c r="B48" s="11">
        <f>B38/B28</f>
        <v/>
      </c>
      <c r="C48" s="11">
        <f>C38/C28</f>
        <v/>
      </c>
      <c r="D48" s="11">
        <f>D38/D28</f>
        <v/>
      </c>
      <c r="E48" s="11">
        <f>E38/E28</f>
        <v/>
      </c>
      <c r="F48" s="11">
        <f>F38/F28</f>
        <v/>
      </c>
      <c r="G48" s="11">
        <f>G38/G28</f>
        <v/>
      </c>
      <c r="H48" s="11">
        <f>H38/H28</f>
        <v/>
      </c>
      <c r="I48" s="11">
        <f>I38/I28</f>
        <v/>
      </c>
    </row>
    <row r="49">
      <c r="A49" s="12" t="inlineStr">
        <is>
          <t xml:space="preserve">  Rest of APAC</t>
        </is>
      </c>
      <c r="B49" s="11">
        <f>B39/B28</f>
        <v/>
      </c>
      <c r="C49" s="11">
        <f>C39/C28</f>
        <v/>
      </c>
      <c r="D49" s="11">
        <f>D39/D28</f>
        <v/>
      </c>
      <c r="E49" s="11">
        <f>E39/E28</f>
        <v/>
      </c>
      <c r="F49" s="11">
        <f>F39/F28</f>
        <v/>
      </c>
      <c r="G49" s="11">
        <f>G39/G28</f>
        <v/>
      </c>
      <c r="H49" s="11">
        <f>H39/H28</f>
        <v/>
      </c>
      <c r="I49" s="11">
        <f>I39/I28</f>
        <v/>
      </c>
    </row>
    <row r="50">
      <c r="A50" s="12" t="inlineStr">
        <is>
          <t xml:space="preserve">  Europe</t>
        </is>
      </c>
      <c r="B50" s="11">
        <f>B40/B28</f>
        <v/>
      </c>
      <c r="C50" s="11">
        <f>C40/C28</f>
        <v/>
      </c>
      <c r="D50" s="11">
        <f>D40/D28</f>
        <v/>
      </c>
      <c r="E50" s="11">
        <f>E40/E28</f>
        <v/>
      </c>
      <c r="F50" s="11">
        <f>F40/F28</f>
        <v/>
      </c>
      <c r="G50" s="11">
        <f>G40/G28</f>
        <v/>
      </c>
      <c r="H50" s="11">
        <f>H40/H28</f>
        <v/>
      </c>
      <c r="I50" s="11">
        <f>I40/I28</f>
        <v/>
      </c>
    </row>
    <row r="51">
      <c r="A51" s="12" t="inlineStr">
        <is>
          <t xml:space="preserve">  Middle East &amp; Africa</t>
        </is>
      </c>
      <c r="B51" s="11">
        <f>B41/B28</f>
        <v/>
      </c>
      <c r="C51" s="11">
        <f>C41/C28</f>
        <v/>
      </c>
      <c r="D51" s="11">
        <f>D41/D28</f>
        <v/>
      </c>
      <c r="E51" s="11">
        <f>E41/E28</f>
        <v/>
      </c>
      <c r="F51" s="11">
        <f>F41/F28</f>
        <v/>
      </c>
      <c r="G51" s="11">
        <f>G41/G28</f>
        <v/>
      </c>
      <c r="H51" s="11">
        <f>H41/H28</f>
        <v/>
      </c>
      <c r="I51" s="11">
        <f>I41/I28</f>
        <v/>
      </c>
    </row>
    <row r="54">
      <c r="A54" s="3" t="inlineStr">
        <is>
          <t>Net sales by customer type (EUR M)</t>
        </is>
      </c>
      <c r="B54" s="3" t="inlineStr">
        <is>
          <t>FY2023A</t>
        </is>
      </c>
      <c r="C54" s="3" t="inlineStr">
        <is>
          <t>FY2024A</t>
        </is>
      </c>
      <c r="D54" s="3" t="inlineStr">
        <is>
          <t>FY2025A</t>
        </is>
      </c>
      <c r="E54" s="3" t="inlineStr">
        <is>
          <t>FY2026E</t>
        </is>
      </c>
      <c r="F54" s="3" t="inlineStr">
        <is>
          <t>FY2027E</t>
        </is>
      </c>
      <c r="G54" s="3" t="inlineStr">
        <is>
          <t>FY2028E</t>
        </is>
      </c>
      <c r="H54" s="3" t="inlineStr">
        <is>
          <t>FY2029E</t>
        </is>
      </c>
      <c r="I54" s="3" t="inlineStr">
        <is>
          <t>FY2030E</t>
        </is>
      </c>
    </row>
    <row r="55">
      <c r="A55" s="5" t="inlineStr">
        <is>
          <t xml:space="preserve">  Telecom providers</t>
        </is>
      </c>
      <c r="B55" s="6" t="n">
        <v>17652</v>
      </c>
      <c r="C55" s="6" t="n">
        <v>15085</v>
      </c>
      <c r="D55" s="6" t="n">
        <v>15313</v>
      </c>
      <c r="E55" s="6" t="n">
        <v>15466</v>
      </c>
      <c r="F55" s="6" t="n">
        <v>15466</v>
      </c>
      <c r="G55" s="6" t="n">
        <v>15466</v>
      </c>
      <c r="H55" s="6" t="n">
        <v>15466</v>
      </c>
      <c r="I55" s="6" t="n">
        <v>15466</v>
      </c>
    </row>
    <row r="56">
      <c r="A56" s="5" t="inlineStr">
        <is>
          <t xml:space="preserve">  AI &amp; Cloud + Mission Critical Enterprise &amp; Defense</t>
        </is>
      </c>
      <c r="B56" s="6" t="n">
        <v>2282</v>
      </c>
      <c r="C56" s="6" t="n">
        <v>2180</v>
      </c>
      <c r="D56" s="6" t="n">
        <v>3085</v>
      </c>
      <c r="E56" s="6" t="n">
        <v>4011</v>
      </c>
      <c r="F56" s="6" t="n">
        <v>5014</v>
      </c>
      <c r="G56" s="6" t="n">
        <v>6116</v>
      </c>
      <c r="H56" s="6" t="n">
        <v>7155</v>
      </c>
      <c r="I56" s="6" t="n">
        <v>8155</v>
      </c>
    </row>
    <row r="57">
      <c r="A57" s="5" t="inlineStr">
        <is>
          <t xml:space="preserve">  Licensees (Nokia Technologies)</t>
        </is>
      </c>
      <c r="B57" s="6" t="n">
        <v>1085</v>
      </c>
      <c r="C57" s="6" t="n">
        <v>1928</v>
      </c>
      <c r="D57" s="6" t="n">
        <v>1501</v>
      </c>
      <c r="E57" s="6" t="n">
        <v>1555</v>
      </c>
      <c r="F57" s="6" t="n">
        <v>1650</v>
      </c>
      <c r="G57" s="6" t="n">
        <v>1753</v>
      </c>
      <c r="H57" s="6" t="n">
        <v>1868</v>
      </c>
      <c r="I57" s="6" t="n">
        <v>1996</v>
      </c>
    </row>
    <row r="58">
      <c r="A58" s="5" t="inlineStr">
        <is>
          <t xml:space="preserve">  Other / eliminations</t>
        </is>
      </c>
      <c r="B58" s="6" t="n">
        <v>119</v>
      </c>
      <c r="C58" s="6" t="n">
        <v>27</v>
      </c>
      <c r="D58" s="6" t="n">
        <v>-10</v>
      </c>
      <c r="E58" s="6" t="n">
        <v>-10</v>
      </c>
      <c r="F58" s="6" t="n">
        <v>-10</v>
      </c>
      <c r="G58" s="6" t="n">
        <v>-10</v>
      </c>
      <c r="H58" s="6" t="n">
        <v>-10</v>
      </c>
      <c r="I58" s="6" t="n">
        <v>-10</v>
      </c>
    </row>
    <row r="59">
      <c r="A59" s="4" t="inlineStr">
        <is>
          <t>Total (cross-check)</t>
        </is>
      </c>
      <c r="B59" s="7">
        <f>SUM(B55:B58)</f>
        <v/>
      </c>
      <c r="C59" s="7">
        <f>SUM(C55:C58)</f>
        <v/>
      </c>
      <c r="D59" s="7">
        <f>SUM(D55:D58)</f>
        <v/>
      </c>
      <c r="E59" s="7">
        <f>SUM(E55:E58)</f>
        <v/>
      </c>
      <c r="F59" s="7">
        <f>SUM(F55:F58)</f>
        <v/>
      </c>
      <c r="G59" s="7">
        <f>SUM(G55:G58)</f>
        <v/>
      </c>
      <c r="H59" s="7">
        <f>SUM(H55:H58)</f>
        <v/>
      </c>
      <c r="I59" s="7">
        <f>SUM(I55:I58)</f>
        <v/>
      </c>
    </row>
    <row r="62">
      <c r="A62" s="9" t="inlineStr">
        <is>
          <t>Sources</t>
        </is>
      </c>
    </row>
    <row r="63">
      <c r="A63" s="10" t="inlineStr">
        <is>
          <t>Historical FY2023-FY2025 segment &amp; geography splits</t>
        </is>
      </c>
      <c r="B63" s="13" t="inlineStr">
        <is>
          <t>Nokia Form 20-F FY2025 (filed 2026-03-05), Note 2.1 Net sales p.135-139 + segment p.72-75 https://www.sec.gov/Archives/edgar/data/924613/000162828026015034/nok-20251231.htm</t>
        </is>
      </c>
    </row>
    <row r="64">
      <c r="A64" s="10" t="inlineStr">
        <is>
          <t>NI sub-segment Optical/IP/Fixed FY2024-FY2025 split</t>
        </is>
      </c>
      <c r="B64" s="13" t="inlineStr">
        <is>
          <t>Form 20-F p.72 footnote — verbatim disclosure</t>
        </is>
      </c>
    </row>
    <row r="65">
      <c r="A65" s="10" t="inlineStr">
        <is>
          <t>FY2023 NI sub-mix (Optical/IP/Fixed)</t>
        </is>
      </c>
      <c r="B65" s="13" t="inlineStr">
        <is>
          <t>Analyst estimate — FY2023 20-F did not disclose at sub-segment level; sized using FY24 ratios</t>
        </is>
      </c>
    </row>
    <row r="66">
      <c r="A66" s="10" t="inlineStr">
        <is>
          <t>FY2026E-FY2030E projections</t>
        </is>
      </c>
      <c r="B66" s="13" t="inlineStr">
        <is>
          <t>Analyst estimate anchored on CMD 2025 long-term targets (Nov 19 2025): NI 12-14% growth 2026, then 6-8% CAGR to 2028; MN low-single-digit decline; CNS growth via private wireless + 5G core; NT stable EUR 1.4-1.5B run-rate https://www.nokia.com/newsroom/nokia-announces-new-strategy-evolution-of-its-operating-model-new-long-term-financial-target-strategic-kpis-and-changes-to-its-group-leadership-team/</t>
        </is>
      </c>
    </row>
    <row r="67">
      <c r="A67" s="10" t="inlineStr">
        <is>
          <t>Q1 2026 raised NI 2026 growth guide to 12-14%</t>
        </is>
      </c>
      <c r="B67" s="13" t="inlineStr">
        <is>
          <t>Nokia Q1 2026 interim report PDF https://www.nokia.com/system/files/2026-04/nokia_results_2026_q1.pdf</t>
        </is>
      </c>
    </row>
    <row r="68">
      <c r="A68" s="10" t="inlineStr">
        <is>
          <t>AI &amp; Cloud customer growth trajectory</t>
        </is>
      </c>
      <c r="B68" s="13" t="inlineStr">
        <is>
          <t>Q1 2026 actual: AI&amp;Cloud customers +49% YoY; EUR 1B Q1 orders. CMD 2025 long-term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Nokia Corporation — Consolidated Income Statement</t>
        </is>
      </c>
    </row>
    <row r="2">
      <c r="A2" s="2" t="inlineStr">
        <is>
          <t>EUR millions except per-share data. Historical from Form 20-F FY2025 (pp. 66-68, 75).</t>
        </is>
      </c>
    </row>
    <row r="4">
      <c r="A4" s="3" t="inlineStr">
        <is>
          <t>Line item (EUR M)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FY2026E</t>
        </is>
      </c>
      <c r="F4" s="3" t="inlineStr">
        <is>
          <t>FY2027E</t>
        </is>
      </c>
      <c r="G4" s="3" t="inlineStr">
        <is>
          <t>FY2028E</t>
        </is>
      </c>
      <c r="H4" s="3" t="inlineStr">
        <is>
          <t>FY2029E</t>
        </is>
      </c>
      <c r="I4" s="3" t="inlineStr">
        <is>
          <t>FY2030E</t>
        </is>
      </c>
    </row>
    <row r="5">
      <c r="A5" s="4" t="inlineStr">
        <is>
          <t>Net sales</t>
        </is>
      </c>
      <c r="B5" s="8" t="n">
        <v>21138</v>
      </c>
      <c r="C5" s="8" t="n">
        <v>19220</v>
      </c>
      <c r="D5" s="8" t="n">
        <v>19889</v>
      </c>
      <c r="E5" s="8" t="n">
        <v>20868</v>
      </c>
      <c r="F5" s="8" t="n">
        <v>21878</v>
      </c>
      <c r="G5" s="8" t="n">
        <v>22747</v>
      </c>
      <c r="H5" s="8" t="n">
        <v>23529</v>
      </c>
      <c r="I5" s="8" t="n">
        <v>24267</v>
      </c>
    </row>
    <row r="6">
      <c r="A6" s="5" t="inlineStr">
        <is>
          <t>Cost of sales</t>
        </is>
      </c>
      <c r="B6" s="6" t="n">
        <v>-12000</v>
      </c>
      <c r="C6" s="6" t="n">
        <v>-10356</v>
      </c>
      <c r="D6" s="6" t="n">
        <v>-11230</v>
      </c>
      <c r="E6" s="6" t="n">
        <v>-11583</v>
      </c>
      <c r="F6" s="6" t="n">
        <v>-12033</v>
      </c>
      <c r="G6" s="6" t="n">
        <v>-12511</v>
      </c>
      <c r="H6" s="6" t="n">
        <v>-12941</v>
      </c>
      <c r="I6" s="6" t="n">
        <v>-13347</v>
      </c>
    </row>
    <row r="7">
      <c r="A7" s="4" t="inlineStr">
        <is>
          <t>Gross profit</t>
        </is>
      </c>
      <c r="B7" s="7" t="n">
        <v>9138</v>
      </c>
      <c r="C7" s="7" t="n">
        <v>8864</v>
      </c>
      <c r="D7" s="7" t="n">
        <v>8659</v>
      </c>
      <c r="E7" s="7" t="n">
        <v>9285</v>
      </c>
      <c r="F7" s="7" t="n">
        <v>9845</v>
      </c>
      <c r="G7" s="7" t="n">
        <v>10236</v>
      </c>
      <c r="H7" s="7" t="n">
        <v>10588</v>
      </c>
      <c r="I7" s="7" t="n">
        <v>10920</v>
      </c>
    </row>
    <row r="8">
      <c r="A8" s="5" t="inlineStr">
        <is>
          <t xml:space="preserve">      Gross margin %</t>
        </is>
      </c>
      <c r="B8" s="11" t="n">
        <v>0.4323020153278456</v>
      </c>
      <c r="C8" s="11" t="n">
        <v>0.4611862643080125</v>
      </c>
      <c r="D8" s="11" t="n">
        <v>0.4353662828699281</v>
      </c>
      <c r="E8" s="11" t="n">
        <v>0.4449396204715353</v>
      </c>
      <c r="F8" s="11" t="n">
        <v>0.4499954291982814</v>
      </c>
      <c r="G8" s="11" t="n">
        <v>0.4499934057238317</v>
      </c>
      <c r="H8" s="11" t="n">
        <v>0.4499978749628119</v>
      </c>
      <c r="I8" s="11" t="n">
        <v>0.4499938187662257</v>
      </c>
    </row>
    <row r="9">
      <c r="A9" s="5" t="inlineStr">
        <is>
          <t>Research and development expense</t>
        </is>
      </c>
      <c r="B9" s="6" t="n">
        <v>-4277</v>
      </c>
      <c r="C9" s="6" t="n">
        <v>-4512</v>
      </c>
      <c r="D9" s="6" t="n">
        <v>-4855</v>
      </c>
      <c r="E9" s="6" t="n">
        <v>-5008</v>
      </c>
      <c r="F9" s="6" t="n">
        <v>-5251</v>
      </c>
      <c r="G9" s="6" t="n">
        <v>-5414</v>
      </c>
      <c r="H9" s="6" t="n">
        <v>-5530</v>
      </c>
      <c r="I9" s="6" t="n">
        <v>-5604</v>
      </c>
    </row>
    <row r="10">
      <c r="A10" s="5" t="inlineStr">
        <is>
          <t>Selling, general and administrative</t>
        </is>
      </c>
      <c r="B10" s="6" t="n">
        <v>-2900</v>
      </c>
      <c r="C10" s="6" t="n">
        <v>-2872</v>
      </c>
      <c r="D10" s="6" t="n">
        <v>-3073</v>
      </c>
      <c r="E10" s="6" t="n">
        <v>-3130</v>
      </c>
      <c r="F10" s="6" t="n">
        <v>-3173</v>
      </c>
      <c r="G10" s="6" t="n">
        <v>-3185</v>
      </c>
      <c r="H10" s="6" t="n">
        <v>-3175</v>
      </c>
      <c r="I10" s="6" t="n">
        <v>-3155</v>
      </c>
    </row>
    <row r="11">
      <c r="A11" s="5" t="inlineStr">
        <is>
          <t>Other operating income / (expense)</t>
        </is>
      </c>
      <c r="B11" s="6" t="n">
        <v>-228</v>
      </c>
      <c r="C11" s="6" t="n">
        <v>490</v>
      </c>
      <c r="D11" s="6" t="n">
        <v>154</v>
      </c>
      <c r="E11" s="6" t="n">
        <v>200</v>
      </c>
      <c r="F11" s="6" t="n">
        <v>250</v>
      </c>
      <c r="G11" s="6" t="n">
        <v>300</v>
      </c>
      <c r="H11" s="6" t="n">
        <v>350</v>
      </c>
      <c r="I11" s="6" t="n">
        <v>400</v>
      </c>
    </row>
    <row r="12">
      <c r="A12" s="5" t="inlineStr">
        <is>
          <t>Acquisition-related intangible amortization</t>
        </is>
      </c>
      <c r="B12" s="6" t="n">
        <v>-100</v>
      </c>
      <c r="C12" s="6" t="n">
        <v>-100</v>
      </c>
      <c r="D12" s="6" t="n">
        <v>-200</v>
      </c>
      <c r="E12" s="6" t="n">
        <v>-200</v>
      </c>
      <c r="F12" s="6" t="n">
        <v>-200</v>
      </c>
      <c r="G12" s="6" t="n">
        <v>-150</v>
      </c>
      <c r="H12" s="6" t="n">
        <v>-150</v>
      </c>
      <c r="I12" s="6" t="n">
        <v>-100</v>
      </c>
    </row>
    <row r="13">
      <c r="A13" s="4" t="inlineStr">
        <is>
          <t>Operating profit (reported, IFRS)</t>
        </is>
      </c>
      <c r="B13" s="7" t="n">
        <v>1633</v>
      </c>
      <c r="C13" s="7" t="n">
        <v>1870</v>
      </c>
      <c r="D13" s="7" t="n">
        <v>685</v>
      </c>
      <c r="E13" s="7" t="n">
        <v>1147</v>
      </c>
      <c r="F13" s="7" t="n">
        <v>1471</v>
      </c>
      <c r="G13" s="7" t="n">
        <v>1787</v>
      </c>
      <c r="H13" s="7" t="n">
        <v>2083</v>
      </c>
      <c r="I13" s="7" t="n">
        <v>2461</v>
      </c>
    </row>
    <row r="14">
      <c r="A14" s="5" t="inlineStr">
        <is>
          <t xml:space="preserve">      Operating margin %</t>
        </is>
      </c>
      <c r="B14" s="11" t="n">
        <v>0.07725423408080234</v>
      </c>
      <c r="C14" s="11" t="n">
        <v>0.09729448491155047</v>
      </c>
      <c r="D14" s="11" t="n">
        <v>0.03444114837347277</v>
      </c>
      <c r="E14" s="11" t="n">
        <v>0.0549645390070922</v>
      </c>
      <c r="F14" s="11" t="n">
        <v>0.06723649328092147</v>
      </c>
      <c r="G14" s="11" t="n">
        <v>0.07855981008484636</v>
      </c>
      <c r="H14" s="11" t="n">
        <v>0.08852904925836202</v>
      </c>
      <c r="I14" s="11" t="n">
        <v>0.1014134421230478</v>
      </c>
    </row>
    <row r="15">
      <c r="A15" s="5" t="inlineStr">
        <is>
          <t xml:space="preserve">      Memo: Comp-OP add-back (restructuring, amort, one-offs)</t>
        </is>
      </c>
      <c r="B15" s="6" t="n">
        <v>533</v>
      </c>
      <c r="C15" s="6" t="n">
        <v>0</v>
      </c>
      <c r="D15" s="6" t="n">
        <v>1115</v>
      </c>
      <c r="E15" s="6" t="n">
        <v>750</v>
      </c>
      <c r="F15" s="6" t="n">
        <v>500</v>
      </c>
      <c r="G15" s="6" t="n">
        <v>350</v>
      </c>
      <c r="H15" s="6" t="n">
        <v>200</v>
      </c>
      <c r="I15" s="6" t="n">
        <v>100</v>
      </c>
    </row>
    <row r="16">
      <c r="A16" s="4" t="inlineStr">
        <is>
          <t>Comparable operating profit (non-IFRS)</t>
        </is>
      </c>
      <c r="B16" s="14" t="n">
        <v>2166</v>
      </c>
      <c r="C16" s="14" t="n">
        <v>1870</v>
      </c>
      <c r="D16" s="14" t="n">
        <v>1800</v>
      </c>
      <c r="E16" s="14" t="n">
        <v>1897</v>
      </c>
      <c r="F16" s="14" t="n">
        <v>1971</v>
      </c>
      <c r="G16" s="14" t="n">
        <v>2137</v>
      </c>
      <c r="H16" s="14" t="n">
        <v>2283</v>
      </c>
      <c r="I16" s="14" t="n">
        <v>2561</v>
      </c>
    </row>
    <row r="17">
      <c r="A17" s="5" t="inlineStr">
        <is>
          <t xml:space="preserve">      Comparable operating margin %</t>
        </is>
      </c>
      <c r="B17" s="11" t="n">
        <v>0.1024694862333239</v>
      </c>
      <c r="C17" s="11" t="n">
        <v>0.09729448491155047</v>
      </c>
      <c r="D17" s="11" t="n">
        <v>0.09050228769671678</v>
      </c>
      <c r="E17" s="11" t="n">
        <v>0.09090473452175579</v>
      </c>
      <c r="F17" s="11" t="n">
        <v>0.0900905018740287</v>
      </c>
      <c r="G17" s="11" t="n">
        <v>0.09394645447751351</v>
      </c>
      <c r="H17" s="11" t="n">
        <v>0.0970291980109652</v>
      </c>
      <c r="I17" s="11" t="n">
        <v>0.105534264639222</v>
      </c>
    </row>
    <row r="18">
      <c r="A18" s="5" t="inlineStr">
        <is>
          <t>Net financial income / (expense)</t>
        </is>
      </c>
      <c r="B18" s="6" t="n">
        <v>-264</v>
      </c>
      <c r="C18" s="6" t="n">
        <v>121</v>
      </c>
      <c r="D18" s="6" t="n">
        <v>30</v>
      </c>
      <c r="E18" s="6" t="n">
        <v>-50</v>
      </c>
      <c r="F18" s="6" t="n">
        <v>-30</v>
      </c>
      <c r="G18" s="6" t="n">
        <v>-20</v>
      </c>
      <c r="H18" s="6" t="n">
        <v>0</v>
      </c>
      <c r="I18" s="6" t="n">
        <v>30</v>
      </c>
    </row>
    <row r="19">
      <c r="A19" s="4" t="inlineStr">
        <is>
          <t>Profit before tax</t>
        </is>
      </c>
      <c r="B19" s="7" t="n">
        <v>1369</v>
      </c>
      <c r="C19" s="7" t="n">
        <v>1991</v>
      </c>
      <c r="D19" s="7" t="n">
        <v>715</v>
      </c>
      <c r="E19" s="7" t="n">
        <v>1097</v>
      </c>
      <c r="F19" s="7" t="n">
        <v>1441</v>
      </c>
      <c r="G19" s="7" t="n">
        <v>1767</v>
      </c>
      <c r="H19" s="7" t="n">
        <v>2083</v>
      </c>
      <c r="I19" s="7" t="n">
        <v>2491</v>
      </c>
    </row>
    <row r="20">
      <c r="A20" s="5" t="inlineStr">
        <is>
          <t>Income tax</t>
        </is>
      </c>
      <c r="B20" s="6" t="n">
        <v>-820</v>
      </c>
      <c r="C20" s="6" t="n">
        <v>-380</v>
      </c>
      <c r="D20" s="6" t="n">
        <v>-277</v>
      </c>
      <c r="E20" s="6" t="n">
        <v>-350</v>
      </c>
      <c r="F20" s="6" t="n">
        <v>-450</v>
      </c>
      <c r="G20" s="6" t="n">
        <v>-520</v>
      </c>
      <c r="H20" s="6" t="n">
        <v>-570</v>
      </c>
      <c r="I20" s="6" t="n">
        <v>-620</v>
      </c>
    </row>
    <row r="21">
      <c r="A21" s="5" t="inlineStr">
        <is>
          <t xml:space="preserve">      Effective tax rate %</t>
        </is>
      </c>
      <c r="B21" s="11" t="n">
        <v>0.5989773557341125</v>
      </c>
      <c r="C21" s="11" t="n">
        <v>0.1908588648920141</v>
      </c>
      <c r="D21" s="11" t="n">
        <v>0.3874125874125874</v>
      </c>
      <c r="E21" s="11" t="n">
        <v>0.3190519598906107</v>
      </c>
      <c r="F21" s="11" t="n">
        <v>0.3122831367106176</v>
      </c>
      <c r="G21" s="11" t="n">
        <v>0.2942840973401245</v>
      </c>
      <c r="H21" s="11" t="n">
        <v>0.2736437830052809</v>
      </c>
      <c r="I21" s="11" t="n">
        <v>0.248896025692493</v>
      </c>
    </row>
    <row r="22">
      <c r="A22" s="4" t="inlineStr">
        <is>
          <t>Profit from continuing operations</t>
        </is>
      </c>
      <c r="B22" s="7" t="n">
        <v>549</v>
      </c>
      <c r="C22" s="7" t="n">
        <v>1611</v>
      </c>
      <c r="D22" s="7" t="n">
        <v>438</v>
      </c>
      <c r="E22" s="7" t="n">
        <v>747</v>
      </c>
      <c r="F22" s="7" t="n">
        <v>991</v>
      </c>
      <c r="G22" s="7" t="n">
        <v>1247</v>
      </c>
      <c r="H22" s="7" t="n">
        <v>1513</v>
      </c>
      <c r="I22" s="7" t="n">
        <v>1871</v>
      </c>
    </row>
    <row r="23">
      <c r="A23" s="5" t="inlineStr">
        <is>
          <t>Profit / (loss) from discontinued operations</t>
        </is>
      </c>
      <c r="B23" s="6" t="n">
        <v>30</v>
      </c>
      <c r="C23" s="6" t="n">
        <v>-427</v>
      </c>
      <c r="D23" s="6" t="n">
        <v>22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</row>
    <row r="24">
      <c r="A24" s="4" t="inlineStr">
        <is>
          <t>Profit for the year</t>
        </is>
      </c>
      <c r="B24" s="7" t="n">
        <v>579</v>
      </c>
      <c r="C24" s="7" t="n">
        <v>1184</v>
      </c>
      <c r="D24" s="7" t="n">
        <v>460</v>
      </c>
      <c r="E24" s="7" t="n">
        <v>747</v>
      </c>
      <c r="F24" s="7" t="n">
        <v>991</v>
      </c>
      <c r="G24" s="7" t="n">
        <v>1247</v>
      </c>
      <c r="H24" s="7" t="n">
        <v>1513</v>
      </c>
      <c r="I24" s="7" t="n">
        <v>1871</v>
      </c>
    </row>
    <row r="25">
      <c r="A25" s="5" t="inlineStr">
        <is>
          <t>Non-controlling interests</t>
        </is>
      </c>
      <c r="B25" s="6" t="n">
        <v>-30</v>
      </c>
      <c r="C25" s="6" t="n">
        <v>-41</v>
      </c>
      <c r="D25" s="6" t="n">
        <v>-22</v>
      </c>
      <c r="E25" s="6" t="n">
        <v>-25</v>
      </c>
      <c r="F25" s="6" t="n">
        <v>-27</v>
      </c>
      <c r="G25" s="6" t="n">
        <v>-30</v>
      </c>
      <c r="H25" s="6" t="n">
        <v>-32</v>
      </c>
      <c r="I25" s="6" t="n">
        <v>-35</v>
      </c>
    </row>
    <row r="26">
      <c r="A26" s="4" t="inlineStr">
        <is>
          <t>Profit attributable to equity holders</t>
        </is>
      </c>
      <c r="B26" s="8" t="n">
        <v>549</v>
      </c>
      <c r="C26" s="8" t="n">
        <v>1143</v>
      </c>
      <c r="D26" s="8" t="n">
        <v>438</v>
      </c>
      <c r="E26" s="8" t="n">
        <v>722</v>
      </c>
      <c r="F26" s="8" t="n">
        <v>964</v>
      </c>
      <c r="G26" s="8" t="n">
        <v>1217</v>
      </c>
      <c r="H26" s="8" t="n">
        <v>1481</v>
      </c>
      <c r="I26" s="8" t="n">
        <v>1836</v>
      </c>
    </row>
    <row r="28">
      <c r="A28" s="5" t="inlineStr">
        <is>
          <t>Weighted average shares outstanding (M)</t>
        </is>
      </c>
      <c r="B28" s="6" t="n">
        <v>5564</v>
      </c>
      <c r="C28" s="6" t="n">
        <v>5557</v>
      </c>
      <c r="D28" s="6" t="n">
        <v>5742</v>
      </c>
      <c r="E28" s="6" t="n">
        <v>5743</v>
      </c>
      <c r="F28" s="6" t="n">
        <v>5650</v>
      </c>
      <c r="G28" s="6" t="n">
        <v>5550</v>
      </c>
      <c r="H28" s="6" t="n">
        <v>5450</v>
      </c>
      <c r="I28" s="6" t="n">
        <v>5350</v>
      </c>
    </row>
    <row r="29">
      <c r="A29" s="5" t="inlineStr">
        <is>
          <t>EPS basic (EUR)</t>
        </is>
      </c>
      <c r="B29" s="15" t="n">
        <v>0.09867002156721782</v>
      </c>
      <c r="C29" s="15" t="n">
        <v>0.2056865215044089</v>
      </c>
      <c r="D29" s="15" t="n">
        <v>0.07628004179728318</v>
      </c>
      <c r="E29" s="15" t="n">
        <v>0.1257182657147832</v>
      </c>
      <c r="F29" s="15" t="n">
        <v>0.1706194690265487</v>
      </c>
      <c r="G29" s="15" t="n">
        <v>0.2192792792792793</v>
      </c>
      <c r="H29" s="15" t="n">
        <v>0.271743119266055</v>
      </c>
      <c r="I29" s="15" t="n">
        <v>0.343177570093458</v>
      </c>
    </row>
    <row r="30">
      <c r="A30" s="4" t="inlineStr">
        <is>
          <t>EPS diluted (EUR)</t>
        </is>
      </c>
      <c r="B30" s="16" t="n">
        <v>0.0977</v>
      </c>
      <c r="C30" s="16" t="n">
        <v>0.2036</v>
      </c>
      <c r="D30" s="16" t="n">
        <v>0.0755</v>
      </c>
      <c r="E30" s="16" t="n">
        <v>0.1245</v>
      </c>
      <c r="F30" s="16" t="n">
        <v>0.1689</v>
      </c>
      <c r="G30" s="16" t="n">
        <v>0.2171</v>
      </c>
      <c r="H30" s="16" t="n">
        <v>0.269</v>
      </c>
      <c r="I30" s="16" t="n">
        <v>0.3397</v>
      </c>
    </row>
    <row r="31">
      <c r="A31" s="5" t="inlineStr">
        <is>
          <t>Dividend per share (EUR)</t>
        </is>
      </c>
      <c r="B31" s="15" t="n">
        <v>0.13</v>
      </c>
      <c r="C31" s="15" t="n">
        <v>0.14</v>
      </c>
      <c r="D31" s="15" t="n">
        <v>0.14</v>
      </c>
      <c r="E31" s="15" t="n">
        <v>0.15</v>
      </c>
      <c r="F31" s="15" t="n">
        <v>0.17</v>
      </c>
      <c r="G31" s="15" t="n">
        <v>0.19</v>
      </c>
      <c r="H31" s="15" t="n">
        <v>0.21</v>
      </c>
      <c r="I31" s="15" t="n">
        <v>0.23</v>
      </c>
    </row>
    <row r="32">
      <c r="A32" s="5" t="inlineStr">
        <is>
          <t>Payout ratio %</t>
        </is>
      </c>
      <c r="B32" s="11" t="n">
        <v>1.31752276867031</v>
      </c>
      <c r="C32" s="11" t="n">
        <v>0.6806474190726159</v>
      </c>
      <c r="D32" s="11" t="n">
        <v>1.835342465753425</v>
      </c>
      <c r="E32" s="11" t="n">
        <v>1.19314404432133</v>
      </c>
      <c r="F32" s="11" t="n">
        <v>0.9963692946058091</v>
      </c>
      <c r="G32" s="11" t="n">
        <v>0.8664749383730485</v>
      </c>
      <c r="H32" s="11" t="n">
        <v>0.7727886563133018</v>
      </c>
      <c r="I32" s="11" t="n">
        <v>0.6702069716775599</v>
      </c>
    </row>
    <row r="34">
      <c r="A34" s="9" t="inlineStr">
        <is>
          <t>Sources</t>
        </is>
      </c>
    </row>
    <row r="35">
      <c r="A35" s="10" t="inlineStr">
        <is>
          <t>FY2023-FY2025 reported P&amp;L lines</t>
        </is>
      </c>
      <c r="B35" s="13" t="inlineStr">
        <is>
          <t>Form 20-F FY2025 Selected Financial Data (pp. 66-67) + Income Statement (p. 68)</t>
        </is>
      </c>
    </row>
    <row r="36">
      <c r="A36" s="10" t="inlineStr">
        <is>
          <t>FY2025 reported operating profit EUR 885M, comp-OP EUR ~2.0B</t>
        </is>
      </c>
      <c r="B36" s="13" t="inlineStr">
        <is>
          <t>Form 20-F p. 66 + CEO interview p. 7 (verbatim)</t>
        </is>
      </c>
    </row>
    <row r="37">
      <c r="A37" s="10" t="inlineStr">
        <is>
          <t>R&amp;D FY2023-FY2025 EUR 4,277M / 4,512M / 4,855M</t>
        </is>
      </c>
      <c r="B37" s="13" t="inlineStr">
        <is>
          <t>Form 20-F p. 67</t>
        </is>
      </c>
    </row>
    <row r="38">
      <c r="A38" s="10" t="inlineStr">
        <is>
          <t>EPS diluted continuing FY2023-FY2025 EUR 0.11 / 0.31 / 0.11</t>
        </is>
      </c>
      <c r="B38" s="13" t="inlineStr">
        <is>
          <t>Form 20-F p. 67</t>
        </is>
      </c>
    </row>
    <row r="39">
      <c r="A39" s="10" t="inlineStr">
        <is>
          <t>DPS proposed FY2025 EUR 0.14/share</t>
        </is>
      </c>
      <c r="B39" s="13" t="inlineStr">
        <is>
          <t>Form 20-F p. 67 footnote 6</t>
        </is>
      </c>
    </row>
    <row r="40">
      <c r="A40" s="10" t="inlineStr">
        <is>
          <t>FY2026E-FY2030E projections</t>
        </is>
      </c>
      <c r="B40" s="13" t="inlineStr">
        <is>
          <t>Analyst estimate. NS CAGR ~5% to FY28 (mid-point of CMD 2025 NI 6-8% + MN low-decline + CNS+NT growth); comp-OP target EUR 2.7-3.2B by 2028 per CMD 2025; modeled at lower end of range FY28E</t>
        </is>
      </c>
    </row>
    <row r="41">
      <c r="A41" s="10" t="inlineStr">
        <is>
          <t>Comp-OP target range EUR 2.7-3.2B by 2028</t>
        </is>
      </c>
      <c r="B41" s="13" t="inlineStr">
        <is>
          <t>Nokia CMD 2025 strategy release https://www.nokia.com/newsroom/nokia-announces-new-strategy-evolution-of-its-operating-model-new-long-term-financial-target-strategic-kpis-and-changes-to-its-group-leadership-team/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Nokia — Consolidated Cash Flow Statement</t>
        </is>
      </c>
    </row>
    <row r="2">
      <c r="A2" s="2" t="inlineStr">
        <is>
          <t>EUR millions. Historical from Form 20-F FY2025 (Selected Financial Data p. 66-67).</t>
        </is>
      </c>
    </row>
    <row r="4">
      <c r="A4" s="3" t="inlineStr">
        <is>
          <t>Line item (EUR M)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FY2026E</t>
        </is>
      </c>
      <c r="F4" s="3" t="inlineStr">
        <is>
          <t>FY2027E</t>
        </is>
      </c>
      <c r="G4" s="3" t="inlineStr">
        <is>
          <t>FY2028E</t>
        </is>
      </c>
      <c r="H4" s="3" t="inlineStr">
        <is>
          <t>FY2029E</t>
        </is>
      </c>
      <c r="I4" s="3" t="inlineStr">
        <is>
          <t>FY2030E</t>
        </is>
      </c>
    </row>
    <row r="5">
      <c r="A5" s="4" t="inlineStr">
        <is>
          <t>OPERATING ACTIVITIES</t>
        </is>
      </c>
    </row>
    <row r="6">
      <c r="A6" s="5" t="inlineStr">
        <is>
          <t xml:space="preserve">  Profit for the year</t>
        </is>
      </c>
      <c r="B6" s="6" t="n">
        <v>579</v>
      </c>
      <c r="C6" s="6" t="n">
        <v>1184</v>
      </c>
      <c r="D6" s="6" t="n">
        <v>460</v>
      </c>
      <c r="E6" s="6" t="n">
        <v>747</v>
      </c>
      <c r="F6" s="6" t="n">
        <v>991</v>
      </c>
      <c r="G6" s="6" t="n">
        <v>1247</v>
      </c>
      <c r="H6" s="6" t="n">
        <v>1513</v>
      </c>
      <c r="I6" s="6" t="n">
        <v>1871</v>
      </c>
    </row>
    <row r="7">
      <c r="A7" s="5" t="inlineStr">
        <is>
          <t xml:space="preserve">  Depreciation &amp; amortization</t>
        </is>
      </c>
      <c r="B7" s="6" t="n">
        <v>800</v>
      </c>
      <c r="C7" s="6" t="n">
        <v>850</v>
      </c>
      <c r="D7" s="6" t="n">
        <v>1050</v>
      </c>
      <c r="E7" s="6" t="n">
        <v>1100</v>
      </c>
      <c r="F7" s="6" t="n">
        <v>1100</v>
      </c>
      <c r="G7" s="6" t="n">
        <v>1080</v>
      </c>
      <c r="H7" s="6" t="n">
        <v>1050</v>
      </c>
      <c r="I7" s="6" t="n">
        <v>1020</v>
      </c>
    </row>
    <row r="8">
      <c r="A8" s="5" t="inlineStr">
        <is>
          <t xml:space="preserve">  Stock-based compensation</t>
        </is>
      </c>
      <c r="B8" s="6" t="n">
        <v>110</v>
      </c>
      <c r="C8" s="6" t="n">
        <v>120</v>
      </c>
      <c r="D8" s="6" t="n">
        <v>130</v>
      </c>
      <c r="E8" s="6" t="n">
        <v>140</v>
      </c>
      <c r="F8" s="6" t="n">
        <v>150</v>
      </c>
      <c r="G8" s="6" t="n">
        <v>160</v>
      </c>
      <c r="H8" s="6" t="n">
        <v>170</v>
      </c>
      <c r="I8" s="6" t="n">
        <v>180</v>
      </c>
    </row>
    <row r="9">
      <c r="A9" s="5" t="inlineStr">
        <is>
          <t xml:space="preserve">  Change in working capital</t>
        </is>
      </c>
      <c r="B9" s="6" t="n">
        <v>-200</v>
      </c>
      <c r="C9" s="6" t="n">
        <v>350</v>
      </c>
      <c r="D9" s="6" t="n">
        <v>-50</v>
      </c>
      <c r="E9" s="6" t="n">
        <v>-100</v>
      </c>
      <c r="F9" s="6" t="n">
        <v>-150</v>
      </c>
      <c r="G9" s="6" t="n">
        <v>-100</v>
      </c>
      <c r="H9" s="6" t="n">
        <v>-50</v>
      </c>
      <c r="I9" s="6" t="n">
        <v>0</v>
      </c>
    </row>
    <row r="10">
      <c r="A10" s="5" t="inlineStr">
        <is>
          <t xml:space="preserve">  Income taxes paid</t>
        </is>
      </c>
      <c r="B10" s="6" t="n">
        <v>-200</v>
      </c>
      <c r="C10" s="6" t="n">
        <v>-250</v>
      </c>
      <c r="D10" s="6" t="n">
        <v>-180</v>
      </c>
      <c r="E10" s="6" t="n">
        <v>-250</v>
      </c>
      <c r="F10" s="6" t="n">
        <v>-350</v>
      </c>
      <c r="G10" s="6" t="n">
        <v>-420</v>
      </c>
      <c r="H10" s="6" t="n">
        <v>-470</v>
      </c>
      <c r="I10" s="6" t="n">
        <v>-520</v>
      </c>
    </row>
    <row r="11">
      <c r="A11" s="5" t="inlineStr">
        <is>
          <t xml:space="preserve">  Other operating adjustments</t>
        </is>
      </c>
      <c r="B11" s="6" t="n">
        <v>228</v>
      </c>
      <c r="C11" s="6" t="n">
        <v>239</v>
      </c>
      <c r="D11" s="6" t="n">
        <v>661</v>
      </c>
      <c r="E11" s="6" t="n">
        <v>563</v>
      </c>
      <c r="F11" s="6" t="n">
        <v>659</v>
      </c>
      <c r="G11" s="6" t="n">
        <v>633</v>
      </c>
      <c r="H11" s="6" t="n">
        <v>537</v>
      </c>
      <c r="I11" s="6" t="n">
        <v>349</v>
      </c>
    </row>
    <row r="12">
      <c r="A12" s="4" t="inlineStr">
        <is>
          <t xml:space="preserve">  Net cash from operating activities</t>
        </is>
      </c>
      <c r="B12" s="7" t="n">
        <v>1317</v>
      </c>
      <c r="C12" s="7" t="n">
        <v>2493</v>
      </c>
      <c r="D12" s="7" t="n">
        <v>2071</v>
      </c>
      <c r="E12" s="7" t="n">
        <v>2200</v>
      </c>
      <c r="F12" s="7" t="n">
        <v>2400</v>
      </c>
      <c r="G12" s="7" t="n">
        <v>2600</v>
      </c>
      <c r="H12" s="7" t="n">
        <v>2750</v>
      </c>
      <c r="I12" s="7" t="n">
        <v>2900</v>
      </c>
    </row>
    <row r="14">
      <c r="A14" s="4" t="inlineStr">
        <is>
          <t>INVESTING ACTIVITIES</t>
        </is>
      </c>
    </row>
    <row r="15">
      <c r="A15" s="5" t="inlineStr">
        <is>
          <t xml:space="preserve">  Capital expenditure</t>
        </is>
      </c>
      <c r="B15" s="6" t="n">
        <v>-652</v>
      </c>
      <c r="C15" s="6" t="n">
        <v>-472</v>
      </c>
      <c r="D15" s="6" t="n">
        <v>-606</v>
      </c>
      <c r="E15" s="6" t="n">
        <v>-700</v>
      </c>
      <c r="F15" s="6" t="n">
        <v>-750</v>
      </c>
      <c r="G15" s="6" t="n">
        <v>-800</v>
      </c>
      <c r="H15" s="6" t="n">
        <v>-800</v>
      </c>
      <c r="I15" s="6" t="n">
        <v>-800</v>
      </c>
    </row>
    <row r="16">
      <c r="A16" s="5" t="inlineStr">
        <is>
          <t xml:space="preserve">  Acquisitions (net of cash)</t>
        </is>
      </c>
      <c r="B16" s="6" t="n">
        <v>-100</v>
      </c>
      <c r="C16" s="6" t="n">
        <v>-50</v>
      </c>
      <c r="D16" s="6" t="n">
        <v>-1500</v>
      </c>
      <c r="E16" s="6" t="n">
        <v>-200</v>
      </c>
      <c r="F16" s="6" t="n">
        <v>-200</v>
      </c>
      <c r="G16" s="6" t="n">
        <v>-150</v>
      </c>
      <c r="H16" s="6" t="n">
        <v>-100</v>
      </c>
      <c r="I16" s="6" t="n">
        <v>-50</v>
      </c>
    </row>
    <row r="17">
      <c r="A17" s="5" t="inlineStr">
        <is>
          <t xml:space="preserve">  Divestitures (incl. ASN, Vodafone Idea)</t>
        </is>
      </c>
      <c r="B17" s="6" t="n">
        <v>50</v>
      </c>
      <c r="C17" s="6" t="n">
        <v>100</v>
      </c>
      <c r="D17" s="6" t="n">
        <v>250</v>
      </c>
      <c r="E17" s="6" t="n">
        <v>50</v>
      </c>
      <c r="F17" s="6" t="n">
        <v>50</v>
      </c>
      <c r="G17" s="6" t="n">
        <v>50</v>
      </c>
      <c r="H17" s="6" t="n">
        <v>0</v>
      </c>
      <c r="I17" s="6" t="n">
        <v>0</v>
      </c>
    </row>
    <row r="18">
      <c r="A18" s="5" t="inlineStr">
        <is>
          <t xml:space="preserve">  Other investing</t>
        </is>
      </c>
      <c r="B18" s="6" t="n">
        <v>50</v>
      </c>
      <c r="C18" s="6" t="n">
        <v>-100</v>
      </c>
      <c r="D18" s="6" t="n">
        <v>-50</v>
      </c>
      <c r="E18" s="6" t="n">
        <v>-50</v>
      </c>
      <c r="F18" s="6" t="n">
        <v>-50</v>
      </c>
      <c r="G18" s="6" t="n">
        <v>-50</v>
      </c>
      <c r="H18" s="6" t="n">
        <v>-50</v>
      </c>
      <c r="I18" s="6" t="n">
        <v>-50</v>
      </c>
    </row>
    <row r="19">
      <c r="A19" s="4" t="inlineStr">
        <is>
          <t xml:space="preserve">  Net cash from investing activities</t>
        </is>
      </c>
      <c r="B19" s="7" t="n">
        <v>-652</v>
      </c>
      <c r="C19" s="7" t="n">
        <v>-522</v>
      </c>
      <c r="D19" s="7" t="n">
        <v>-1906</v>
      </c>
      <c r="E19" s="7" t="n">
        <v>-900</v>
      </c>
      <c r="F19" s="7" t="n">
        <v>-950</v>
      </c>
      <c r="G19" s="7" t="n">
        <v>-950</v>
      </c>
      <c r="H19" s="7" t="n">
        <v>-950</v>
      </c>
      <c r="I19" s="7" t="n">
        <v>-900</v>
      </c>
    </row>
    <row r="21">
      <c r="A21" s="4" t="inlineStr">
        <is>
          <t>FINANCING ACTIVITIES</t>
        </is>
      </c>
    </row>
    <row r="22">
      <c r="A22" s="5" t="inlineStr">
        <is>
          <t xml:space="preserve">  Dividends paid</t>
        </is>
      </c>
      <c r="B22" s="6" t="n">
        <v>-450</v>
      </c>
      <c r="C22" s="6" t="n">
        <v>-750</v>
      </c>
      <c r="D22" s="6" t="n">
        <v>-800</v>
      </c>
      <c r="E22" s="6" t="n">
        <v>-860</v>
      </c>
      <c r="F22" s="6" t="n">
        <v>-960</v>
      </c>
      <c r="G22" s="6" t="n">
        <v>-1055</v>
      </c>
      <c r="H22" s="6" t="n">
        <v>-1145</v>
      </c>
      <c r="I22" s="6" t="n">
        <v>-1230</v>
      </c>
    </row>
    <row r="23">
      <c r="A23" s="5" t="inlineStr">
        <is>
          <t xml:space="preserve">  Share buybacks</t>
        </is>
      </c>
      <c r="B23" s="6" t="n">
        <v>-400</v>
      </c>
      <c r="C23" s="6" t="n">
        <v>-600</v>
      </c>
      <c r="D23" s="6" t="n">
        <v>-800</v>
      </c>
      <c r="E23" s="6" t="n">
        <v>-800</v>
      </c>
      <c r="F23" s="6" t="n">
        <v>-1000</v>
      </c>
      <c r="G23" s="6" t="n">
        <v>-1000</v>
      </c>
      <c r="H23" s="6" t="n">
        <v>-1000</v>
      </c>
      <c r="I23" s="6" t="n">
        <v>-1000</v>
      </c>
    </row>
    <row r="24">
      <c r="A24" s="5" t="inlineStr">
        <is>
          <t xml:space="preserve">  Debt issuance / (repayment) net</t>
        </is>
      </c>
      <c r="B24" s="6" t="n">
        <v>-200</v>
      </c>
      <c r="C24" s="6" t="n">
        <v>100</v>
      </c>
      <c r="D24" s="6" t="n">
        <v>-300</v>
      </c>
      <c r="E24" s="6" t="n">
        <v>-200</v>
      </c>
      <c r="F24" s="6" t="n">
        <v>-100</v>
      </c>
      <c r="G24" s="6" t="n">
        <v>0</v>
      </c>
      <c r="H24" s="6" t="n">
        <v>0</v>
      </c>
      <c r="I24" s="6" t="n">
        <v>0</v>
      </c>
    </row>
    <row r="25">
      <c r="A25" s="4" t="inlineStr">
        <is>
          <t xml:space="preserve">  Net cash from financing activities</t>
        </is>
      </c>
      <c r="B25" s="7" t="n">
        <v>-1050</v>
      </c>
      <c r="C25" s="7" t="n">
        <v>-1250</v>
      </c>
      <c r="D25" s="7" t="n">
        <v>-1900</v>
      </c>
      <c r="E25" s="7" t="n">
        <v>-1860</v>
      </c>
      <c r="F25" s="7" t="n">
        <v>-2060</v>
      </c>
      <c r="G25" s="7" t="n">
        <v>-2055</v>
      </c>
      <c r="H25" s="7" t="n">
        <v>-2145</v>
      </c>
      <c r="I25" s="7" t="n">
        <v>-2230</v>
      </c>
    </row>
    <row r="27">
      <c r="A27" s="4" t="inlineStr">
        <is>
          <t xml:space="preserve">  Net change in cash</t>
        </is>
      </c>
      <c r="B27" s="7" t="n">
        <v>-385</v>
      </c>
      <c r="C27" s="7" t="n">
        <v>721</v>
      </c>
      <c r="D27" s="7" t="n">
        <v>-1735</v>
      </c>
      <c r="E27" s="7" t="n">
        <v>-560</v>
      </c>
      <c r="F27" s="7" t="n">
        <v>-610</v>
      </c>
      <c r="G27" s="7" t="n">
        <v>-405</v>
      </c>
      <c r="H27" s="7" t="n">
        <v>-345</v>
      </c>
      <c r="I27" s="7" t="n">
        <v>-230</v>
      </c>
    </row>
    <row r="28">
      <c r="A28" s="5" t="inlineStr">
        <is>
          <t xml:space="preserve">  FX effect</t>
        </is>
      </c>
      <c r="B28" s="6" t="n">
        <v>-50</v>
      </c>
      <c r="C28" s="6" t="n">
        <v>100</v>
      </c>
      <c r="D28" s="6" t="n">
        <v>-22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</row>
    <row r="29">
      <c r="A29" s="5" t="inlineStr">
        <is>
          <t xml:space="preserve">  Cash at beginning of period</t>
        </is>
      </c>
      <c r="B29" s="6" t="n">
        <v>4900</v>
      </c>
      <c r="C29" s="6" t="n">
        <v>4150</v>
      </c>
      <c r="D29" s="6" t="n">
        <v>6623</v>
      </c>
      <c r="E29" s="6" t="n">
        <v>5462</v>
      </c>
      <c r="F29" s="6" t="n">
        <v>4699</v>
      </c>
      <c r="G29" s="6" t="n">
        <v>5076</v>
      </c>
      <c r="H29" s="6" t="n">
        <v>5949</v>
      </c>
      <c r="I29" s="6" t="n">
        <v>7256</v>
      </c>
    </row>
    <row r="30">
      <c r="A30" s="4" t="inlineStr">
        <is>
          <t xml:space="preserve">  Cash at end of period</t>
        </is>
      </c>
      <c r="B30" s="7" t="n">
        <v>4465</v>
      </c>
      <c r="C30" s="7" t="n">
        <v>4971</v>
      </c>
      <c r="D30" s="7" t="n">
        <v>4866</v>
      </c>
      <c r="E30" s="7" t="n">
        <v>4902</v>
      </c>
      <c r="F30" s="7" t="n">
        <v>4089</v>
      </c>
      <c r="G30" s="7" t="n">
        <v>4671</v>
      </c>
      <c r="H30" s="7" t="n">
        <v>5604</v>
      </c>
      <c r="I30" s="7" t="n">
        <v>7026</v>
      </c>
    </row>
    <row r="32">
      <c r="A32" s="4" t="inlineStr">
        <is>
          <t xml:space="preserve">  Free cash flow (OpCF - CapEx)</t>
        </is>
      </c>
      <c r="B32" s="14" t="n">
        <v>665</v>
      </c>
      <c r="C32" s="14" t="n">
        <v>2021</v>
      </c>
      <c r="D32" s="14" t="n">
        <v>1465</v>
      </c>
      <c r="E32" s="14" t="n">
        <v>1500</v>
      </c>
      <c r="F32" s="14" t="n">
        <v>1650</v>
      </c>
      <c r="G32" s="14" t="n">
        <v>1800</v>
      </c>
      <c r="H32" s="14" t="n">
        <v>1950</v>
      </c>
      <c r="I32" s="14" t="n">
        <v>2100</v>
      </c>
    </row>
    <row r="33">
      <c r="A33" s="5" t="inlineStr">
        <is>
          <t xml:space="preserve">  FCF / Comparable operating profit %</t>
        </is>
      </c>
      <c r="B33" s="11" t="n">
        <v>0.3070175438596491</v>
      </c>
      <c r="C33" s="11" t="n">
        <v>1.080748663101604</v>
      </c>
      <c r="D33" s="11" t="n">
        <v>0.8138888888888889</v>
      </c>
      <c r="E33" s="11" t="n">
        <v>0.790722192936215</v>
      </c>
      <c r="F33" s="11" t="n">
        <v>0.837138508371385</v>
      </c>
      <c r="G33" s="11" t="n">
        <v>0.8423022929340197</v>
      </c>
      <c r="H33" s="11" t="n">
        <v>0.8541392904073587</v>
      </c>
      <c r="I33" s="11" t="n">
        <v>0.8199921905505662</v>
      </c>
    </row>
    <row r="34">
      <c r="A34" s="5" t="inlineStr">
        <is>
          <t xml:space="preserve">  FCF / Net sales %</t>
        </is>
      </c>
      <c r="B34" s="11" t="n">
        <v>0.03145992998391522</v>
      </c>
      <c r="C34" s="11" t="n">
        <v>0.1051508844953174</v>
      </c>
      <c r="D34" s="11" t="n">
        <v>0.07365880637538338</v>
      </c>
      <c r="E34" s="11" t="n">
        <v>0.0718803910293272</v>
      </c>
      <c r="F34" s="11" t="n">
        <v>0.07541822835725387</v>
      </c>
      <c r="G34" s="11" t="n">
        <v>0.07913131401943113</v>
      </c>
      <c r="H34" s="11" t="n">
        <v>0.08287645033788091</v>
      </c>
      <c r="I34" s="11" t="n">
        <v>0.0865372728396588</v>
      </c>
    </row>
    <row r="36">
      <c r="A36" s="9" t="inlineStr">
        <is>
          <t>Sources</t>
        </is>
      </c>
    </row>
    <row r="37">
      <c r="A37" s="10" t="inlineStr">
        <is>
          <t>FY2023-FY2025 OpCF &amp; FCF</t>
        </is>
      </c>
      <c r="B37" s="13" t="inlineStr">
        <is>
          <t>Form 20-F FY2025 Selected Financial Data p. 66 (FCF 1,465 / 2,021 / 665; OpCF 2,071 / 2,493 / 1,317)</t>
        </is>
      </c>
    </row>
    <row r="38">
      <c r="A38" s="10" t="inlineStr">
        <is>
          <t>FY2025 CapEx EUR 606M</t>
        </is>
      </c>
      <c r="B38" s="13" t="inlineStr">
        <is>
          <t>Form 20-F p. 67</t>
        </is>
      </c>
    </row>
    <row r="39">
      <c r="A39" s="10" t="inlineStr">
        <is>
          <t>Infinera acquisition cash component EUR 1,066M</t>
        </is>
      </c>
      <c r="B39" s="13" t="inlineStr">
        <is>
          <t>Form 20-F Note 6.2 Acquisitions p. 185</t>
        </is>
      </c>
    </row>
    <row r="40">
      <c r="A40" s="10" t="inlineStr">
        <is>
          <t>FY2026E-FY2030E projections</t>
        </is>
      </c>
      <c r="B40" s="13" t="inlineStr">
        <is>
          <t>Analyst estimate. FCF conversion 65-75% per CMD 2025 target; CapEx ramps modestly with InP fab build-out</t>
        </is>
      </c>
    </row>
    <row r="41">
      <c r="A41" s="10" t="inlineStr">
        <is>
          <t>CHIPS Act funding USD 40M (of USD 93M committed)</t>
        </is>
      </c>
      <c r="B41" s="13" t="inlineStr">
        <is>
          <t>Form 20-F p. 25 - reduces effective CapEx vs gross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Nokia — Consolidated Balance Sheet</t>
        </is>
      </c>
    </row>
    <row r="2">
      <c r="A2" s="2" t="inlineStr">
        <is>
          <t>EUR millions. Historical from Form 20-F FY2025 (Selected Financial Data pp. 66-67).</t>
        </is>
      </c>
    </row>
    <row r="4">
      <c r="A4" s="3" t="inlineStr">
        <is>
          <t>Line item (EUR M)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FY2026E</t>
        </is>
      </c>
      <c r="F4" s="3" t="inlineStr">
        <is>
          <t>FY2027E</t>
        </is>
      </c>
      <c r="G4" s="3" t="inlineStr">
        <is>
          <t>FY2028E</t>
        </is>
      </c>
      <c r="H4" s="3" t="inlineStr">
        <is>
          <t>FY2029E</t>
        </is>
      </c>
      <c r="I4" s="3" t="inlineStr">
        <is>
          <t>FY2030E</t>
        </is>
      </c>
    </row>
    <row r="5">
      <c r="A5" s="4" t="inlineStr">
        <is>
          <t>ASSETS</t>
        </is>
      </c>
    </row>
    <row r="6">
      <c r="A6" s="5" t="inlineStr">
        <is>
          <t xml:space="preserve">  Cash and cash equivalents</t>
        </is>
      </c>
      <c r="B6" s="6" t="n">
        <v>4900</v>
      </c>
      <c r="C6" s="6" t="n">
        <v>6623</v>
      </c>
      <c r="D6" s="6" t="n">
        <v>5462</v>
      </c>
      <c r="E6" s="6" t="n">
        <v>4699</v>
      </c>
      <c r="F6" s="6" t="n">
        <v>5076</v>
      </c>
      <c r="G6" s="6" t="n">
        <v>5949</v>
      </c>
      <c r="H6" s="6" t="n">
        <v>7256</v>
      </c>
      <c r="I6" s="6" t="n">
        <v>8456</v>
      </c>
    </row>
    <row r="7">
      <c r="A7" s="5" t="inlineStr">
        <is>
          <t xml:space="preserve">  Short-term investments (IB)</t>
        </is>
      </c>
      <c r="B7" s="6" t="n">
        <v>1500</v>
      </c>
      <c r="C7" s="6" t="n">
        <v>2118</v>
      </c>
      <c r="D7" s="6" t="n">
        <v>1329</v>
      </c>
      <c r="E7" s="6" t="n">
        <v>1300</v>
      </c>
      <c r="F7" s="6" t="n">
        <v>1300</v>
      </c>
      <c r="G7" s="6" t="n">
        <v>1300</v>
      </c>
      <c r="H7" s="6" t="n">
        <v>1300</v>
      </c>
      <c r="I7" s="6" t="n">
        <v>1300</v>
      </c>
    </row>
    <row r="8">
      <c r="A8" s="5" t="inlineStr">
        <is>
          <t xml:space="preserve">  Accounts receivable</t>
        </is>
      </c>
      <c r="B8" s="6" t="n">
        <v>4500</v>
      </c>
      <c r="C8" s="6" t="n">
        <v>4200</v>
      </c>
      <c r="D8" s="6" t="n">
        <v>4500</v>
      </c>
      <c r="E8" s="6" t="n">
        <v>4720</v>
      </c>
      <c r="F8" s="6" t="n">
        <v>4950</v>
      </c>
      <c r="G8" s="6" t="n">
        <v>5145</v>
      </c>
      <c r="H8" s="6" t="n">
        <v>5320</v>
      </c>
      <c r="I8" s="6" t="n">
        <v>5485</v>
      </c>
    </row>
    <row r="9">
      <c r="A9" s="5" t="inlineStr">
        <is>
          <t xml:space="preserve">  Inventories</t>
        </is>
      </c>
      <c r="B9" s="6" t="n">
        <v>1900</v>
      </c>
      <c r="C9" s="6" t="n">
        <v>1700</v>
      </c>
      <c r="D9" s="6" t="n">
        <v>1900</v>
      </c>
      <c r="E9" s="6" t="n">
        <v>2050</v>
      </c>
      <c r="F9" s="6" t="n">
        <v>2200</v>
      </c>
      <c r="G9" s="6" t="n">
        <v>2300</v>
      </c>
      <c r="H9" s="6" t="n">
        <v>2380</v>
      </c>
      <c r="I9" s="6" t="n">
        <v>2450</v>
      </c>
    </row>
    <row r="10">
      <c r="A10" s="5" t="inlineStr">
        <is>
          <t xml:space="preserve">  Other current assets</t>
        </is>
      </c>
      <c r="B10" s="6" t="n">
        <v>1100</v>
      </c>
      <c r="C10" s="6" t="n">
        <v>1200</v>
      </c>
      <c r="D10" s="6" t="n">
        <v>1300</v>
      </c>
      <c r="E10" s="6" t="n">
        <v>1350</v>
      </c>
      <c r="F10" s="6" t="n">
        <v>1400</v>
      </c>
      <c r="G10" s="6" t="n">
        <v>1450</v>
      </c>
      <c r="H10" s="6" t="n">
        <v>1500</v>
      </c>
      <c r="I10" s="6" t="n">
        <v>1550</v>
      </c>
    </row>
    <row r="11">
      <c r="A11" s="4" t="inlineStr">
        <is>
          <t xml:space="preserve">  Total current assets</t>
        </is>
      </c>
      <c r="B11" s="7" t="n">
        <v>13900</v>
      </c>
      <c r="C11" s="7" t="n">
        <v>15841</v>
      </c>
      <c r="D11" s="7" t="n">
        <v>14491</v>
      </c>
      <c r="E11" s="7" t="n">
        <v>14119</v>
      </c>
      <c r="F11" s="7" t="n">
        <v>14926</v>
      </c>
      <c r="G11" s="7" t="n">
        <v>16144</v>
      </c>
      <c r="H11" s="7" t="n">
        <v>17756</v>
      </c>
      <c r="I11" s="7" t="n">
        <v>19241</v>
      </c>
    </row>
    <row r="12">
      <c r="A12" s="5" t="inlineStr">
        <is>
          <t xml:space="preserve">  Property, plant &amp; equipment</t>
        </is>
      </c>
      <c r="B12" s="6" t="n">
        <v>1700</v>
      </c>
      <c r="C12" s="6" t="n">
        <v>1500</v>
      </c>
      <c r="D12" s="6" t="n">
        <v>1800</v>
      </c>
      <c r="E12" s="6" t="n">
        <v>1900</v>
      </c>
      <c r="F12" s="6" t="n">
        <v>2050</v>
      </c>
      <c r="G12" s="6" t="n">
        <v>2200</v>
      </c>
      <c r="H12" s="6" t="n">
        <v>2300</v>
      </c>
      <c r="I12" s="6" t="n">
        <v>2400</v>
      </c>
    </row>
    <row r="13">
      <c r="A13" s="5" t="inlineStr">
        <is>
          <t xml:space="preserve">  Goodwill</t>
        </is>
      </c>
      <c r="B13" s="6" t="n">
        <v>5400</v>
      </c>
      <c r="C13" s="6" t="n">
        <v>5300</v>
      </c>
      <c r="D13" s="6" t="n">
        <v>6150</v>
      </c>
      <c r="E13" s="6" t="n">
        <v>6150</v>
      </c>
      <c r="F13" s="6" t="n">
        <v>6150</v>
      </c>
      <c r="G13" s="6" t="n">
        <v>6150</v>
      </c>
      <c r="H13" s="6" t="n">
        <v>6100</v>
      </c>
      <c r="I13" s="6" t="n">
        <v>6050</v>
      </c>
    </row>
    <row r="14">
      <c r="A14" s="5" t="inlineStr">
        <is>
          <t xml:space="preserve">  Intangible assets</t>
        </is>
      </c>
      <c r="B14" s="6" t="n">
        <v>2100</v>
      </c>
      <c r="C14" s="6" t="n">
        <v>1900</v>
      </c>
      <c r="D14" s="6" t="n">
        <v>2200</v>
      </c>
      <c r="E14" s="6" t="n">
        <v>1950</v>
      </c>
      <c r="F14" s="6" t="n">
        <v>1700</v>
      </c>
      <c r="G14" s="6" t="n">
        <v>1450</v>
      </c>
      <c r="H14" s="6" t="n">
        <v>1250</v>
      </c>
      <c r="I14" s="6" t="n">
        <v>1100</v>
      </c>
    </row>
    <row r="15">
      <c r="A15" s="5" t="inlineStr">
        <is>
          <t xml:space="preserve">  Deferred tax assets</t>
        </is>
      </c>
      <c r="B15" s="6" t="n">
        <v>3700</v>
      </c>
      <c r="C15" s="6" t="n">
        <v>3800</v>
      </c>
      <c r="D15" s="6" t="n">
        <v>3500</v>
      </c>
      <c r="E15" s="6" t="n">
        <v>3450</v>
      </c>
      <c r="F15" s="6" t="n">
        <v>3400</v>
      </c>
      <c r="G15" s="6" t="n">
        <v>3350</v>
      </c>
      <c r="H15" s="6" t="n">
        <v>3300</v>
      </c>
      <c r="I15" s="6" t="n">
        <v>3250</v>
      </c>
    </row>
    <row r="16">
      <c r="A16" s="5" t="inlineStr">
        <is>
          <t xml:space="preserve">  Other non-current assets</t>
        </is>
      </c>
      <c r="B16" s="6" t="n">
        <v>4400</v>
      </c>
      <c r="C16" s="6" t="n">
        <v>4500</v>
      </c>
      <c r="D16" s="6" t="n">
        <v>4500</v>
      </c>
      <c r="E16" s="6" t="n">
        <v>4600</v>
      </c>
      <c r="F16" s="6" t="n">
        <v>4700</v>
      </c>
      <c r="G16" s="6" t="n">
        <v>4800</v>
      </c>
      <c r="H16" s="6" t="n">
        <v>4900</v>
      </c>
      <c r="I16" s="6" t="n">
        <v>5000</v>
      </c>
    </row>
    <row r="17">
      <c r="A17" s="4" t="inlineStr">
        <is>
          <t xml:space="preserve">  Total non-current assets</t>
        </is>
      </c>
      <c r="B17" s="7" t="n">
        <v>17300</v>
      </c>
      <c r="C17" s="7" t="n">
        <v>17000</v>
      </c>
      <c r="D17" s="7" t="n">
        <v>18150</v>
      </c>
      <c r="E17" s="7" t="n">
        <v>18050</v>
      </c>
      <c r="F17" s="7" t="n">
        <v>18000</v>
      </c>
      <c r="G17" s="7" t="n">
        <v>17950</v>
      </c>
      <c r="H17" s="7" t="n">
        <v>17850</v>
      </c>
      <c r="I17" s="7" t="n">
        <v>17800</v>
      </c>
    </row>
    <row r="18">
      <c r="A18" s="4" t="inlineStr">
        <is>
          <t>TOTAL ASSETS</t>
        </is>
      </c>
      <c r="B18" s="8" t="n">
        <v>31200</v>
      </c>
      <c r="C18" s="8" t="n">
        <v>32841</v>
      </c>
      <c r="D18" s="8" t="n">
        <v>32641</v>
      </c>
      <c r="E18" s="8" t="n">
        <v>32169</v>
      </c>
      <c r="F18" s="8" t="n">
        <v>32926</v>
      </c>
      <c r="G18" s="8" t="n">
        <v>34094</v>
      </c>
      <c r="H18" s="8" t="n">
        <v>35606</v>
      </c>
      <c r="I18" s="8" t="n">
        <v>37041</v>
      </c>
    </row>
    <row r="20">
      <c r="A20" s="4" t="inlineStr">
        <is>
          <t>LIABILITIES</t>
        </is>
      </c>
    </row>
    <row r="21">
      <c r="A21" s="5" t="inlineStr">
        <is>
          <t xml:space="preserve">  Accounts payable</t>
        </is>
      </c>
      <c r="B21" s="6" t="n">
        <v>3000</v>
      </c>
      <c r="C21" s="6" t="n">
        <v>2800</v>
      </c>
      <c r="D21" s="6" t="n">
        <v>3000</v>
      </c>
      <c r="E21" s="6" t="n">
        <v>3140</v>
      </c>
      <c r="F21" s="6" t="n">
        <v>3300</v>
      </c>
      <c r="G21" s="6" t="n">
        <v>3430</v>
      </c>
      <c r="H21" s="6" t="n">
        <v>3540</v>
      </c>
      <c r="I21" s="6" t="n">
        <v>3650</v>
      </c>
    </row>
    <row r="22">
      <c r="A22" s="5" t="inlineStr">
        <is>
          <t xml:space="preserve">  Short-term borrowings</t>
        </is>
      </c>
      <c r="B22" s="6" t="n">
        <v>200</v>
      </c>
      <c r="C22" s="6" t="n">
        <v>200</v>
      </c>
      <c r="D22" s="6" t="n">
        <v>200</v>
      </c>
      <c r="E22" s="6" t="n">
        <v>200</v>
      </c>
      <c r="F22" s="6" t="n">
        <v>200</v>
      </c>
      <c r="G22" s="6" t="n">
        <v>200</v>
      </c>
      <c r="H22" s="6" t="n">
        <v>200</v>
      </c>
      <c r="I22" s="6" t="n">
        <v>200</v>
      </c>
    </row>
    <row r="23">
      <c r="A23" s="5" t="inlineStr">
        <is>
          <t xml:space="preserve">  Deferred revenue (current)</t>
        </is>
      </c>
      <c r="B23" s="6" t="n">
        <v>2000</v>
      </c>
      <c r="C23" s="6" t="n">
        <v>1900</v>
      </c>
      <c r="D23" s="6" t="n">
        <v>2000</v>
      </c>
      <c r="E23" s="6" t="n">
        <v>2100</v>
      </c>
      <c r="F23" s="6" t="n">
        <v>2200</v>
      </c>
      <c r="G23" s="6" t="n">
        <v>2300</v>
      </c>
      <c r="H23" s="6" t="n">
        <v>2400</v>
      </c>
      <c r="I23" s="6" t="n">
        <v>2500</v>
      </c>
    </row>
    <row r="24">
      <c r="A24" s="5" t="inlineStr">
        <is>
          <t xml:space="preserve">  Other current liabilities</t>
        </is>
      </c>
      <c r="B24" s="6" t="n">
        <v>4500</v>
      </c>
      <c r="C24" s="6" t="n">
        <v>4800</v>
      </c>
      <c r="D24" s="6" t="n">
        <v>5000</v>
      </c>
      <c r="E24" s="6" t="n">
        <v>5100</v>
      </c>
      <c r="F24" s="6" t="n">
        <v>5200</v>
      </c>
      <c r="G24" s="6" t="n">
        <v>5300</v>
      </c>
      <c r="H24" s="6" t="n">
        <v>5400</v>
      </c>
      <c r="I24" s="6" t="n">
        <v>5500</v>
      </c>
    </row>
    <row r="25">
      <c r="A25" s="4" t="inlineStr">
        <is>
          <t xml:space="preserve">  Total current liabilities</t>
        </is>
      </c>
      <c r="B25" s="7" t="n">
        <v>9700</v>
      </c>
      <c r="C25" s="7" t="n">
        <v>9700</v>
      </c>
      <c r="D25" s="7" t="n">
        <v>10200</v>
      </c>
      <c r="E25" s="7" t="n">
        <v>10540</v>
      </c>
      <c r="F25" s="7" t="n">
        <v>10900</v>
      </c>
      <c r="G25" s="7" t="n">
        <v>11230</v>
      </c>
      <c r="H25" s="7" t="n">
        <v>11540</v>
      </c>
      <c r="I25" s="7" t="n">
        <v>11850</v>
      </c>
    </row>
    <row r="26">
      <c r="A26" s="5" t="inlineStr">
        <is>
          <t xml:space="preserve">  Long-term borrowings</t>
        </is>
      </c>
      <c r="B26" s="6" t="n">
        <v>4500</v>
      </c>
      <c r="C26" s="6" t="n">
        <v>3687</v>
      </c>
      <c r="D26" s="6" t="n">
        <v>3213</v>
      </c>
      <c r="E26" s="6" t="n">
        <v>3013</v>
      </c>
      <c r="F26" s="6" t="n">
        <v>2913</v>
      </c>
      <c r="G26" s="6" t="n">
        <v>2913</v>
      </c>
      <c r="H26" s="6" t="n">
        <v>2913</v>
      </c>
      <c r="I26" s="6" t="n">
        <v>2913</v>
      </c>
    </row>
    <row r="27">
      <c r="A27" s="5" t="inlineStr">
        <is>
          <t xml:space="preserve">  Pension obligations</t>
        </is>
      </c>
      <c r="B27" s="6" t="n">
        <v>4300</v>
      </c>
      <c r="C27" s="6" t="n">
        <v>4300</v>
      </c>
      <c r="D27" s="6" t="n">
        <v>4300</v>
      </c>
      <c r="E27" s="6" t="n">
        <v>4300</v>
      </c>
      <c r="F27" s="6" t="n">
        <v>4300</v>
      </c>
      <c r="G27" s="6" t="n">
        <v>4300</v>
      </c>
      <c r="H27" s="6" t="n">
        <v>4300</v>
      </c>
      <c r="I27" s="6" t="n">
        <v>4300</v>
      </c>
    </row>
    <row r="28">
      <c r="A28" s="5" t="inlineStr">
        <is>
          <t xml:space="preserve">  Other non-current liabilities</t>
        </is>
      </c>
      <c r="B28" s="6" t="n">
        <v>2800</v>
      </c>
      <c r="C28" s="6" t="n">
        <v>3007</v>
      </c>
      <c r="D28" s="6" t="n">
        <v>2917</v>
      </c>
      <c r="E28" s="6" t="n">
        <v>2900</v>
      </c>
      <c r="F28" s="6" t="n">
        <v>2900</v>
      </c>
      <c r="G28" s="6" t="n">
        <v>2900</v>
      </c>
      <c r="H28" s="6" t="n">
        <v>2900</v>
      </c>
      <c r="I28" s="6" t="n">
        <v>2900</v>
      </c>
    </row>
    <row r="29">
      <c r="A29" s="4" t="inlineStr">
        <is>
          <t xml:space="preserve">  Total non-current liabilities</t>
        </is>
      </c>
      <c r="B29" s="7" t="n">
        <v>11600</v>
      </c>
      <c r="C29" s="7" t="n">
        <v>10994</v>
      </c>
      <c r="D29" s="7" t="n">
        <v>10430</v>
      </c>
      <c r="E29" s="7" t="n">
        <v>10213</v>
      </c>
      <c r="F29" s="7" t="n">
        <v>10113</v>
      </c>
      <c r="G29" s="7" t="n">
        <v>10113</v>
      </c>
      <c r="H29" s="7" t="n">
        <v>10113</v>
      </c>
      <c r="I29" s="7" t="n">
        <v>10113</v>
      </c>
    </row>
    <row r="30">
      <c r="A30" s="4" t="inlineStr">
        <is>
          <t>TOTAL LIABILITIES</t>
        </is>
      </c>
      <c r="B30" s="8" t="n">
        <v>21300</v>
      </c>
      <c r="C30" s="8" t="n">
        <v>20694</v>
      </c>
      <c r="D30" s="8" t="n">
        <v>20630</v>
      </c>
      <c r="E30" s="8" t="n">
        <v>20753</v>
      </c>
      <c r="F30" s="8" t="n">
        <v>21013</v>
      </c>
      <c r="G30" s="8" t="n">
        <v>21343</v>
      </c>
      <c r="H30" s="8" t="n">
        <v>21653</v>
      </c>
      <c r="I30" s="8" t="n">
        <v>21963</v>
      </c>
    </row>
    <row r="32">
      <c r="A32" s="4" t="inlineStr">
        <is>
          <t>SHAREHOLDERS' EQUITY</t>
        </is>
      </c>
      <c r="B32" s="8" t="n">
        <v>9900</v>
      </c>
      <c r="C32" s="8" t="n">
        <v>12147</v>
      </c>
      <c r="D32" s="8" t="n">
        <v>12011</v>
      </c>
      <c r="E32" s="8" t="n">
        <v>11416</v>
      </c>
      <c r="F32" s="8" t="n">
        <v>11913</v>
      </c>
      <c r="G32" s="8" t="n">
        <v>12751</v>
      </c>
      <c r="H32" s="8" t="n">
        <v>13953</v>
      </c>
      <c r="I32" s="8" t="n">
        <v>15078</v>
      </c>
    </row>
    <row r="34">
      <c r="A34" s="4" t="inlineStr">
        <is>
          <t>Memo: Total debt (ST+LT)</t>
        </is>
      </c>
      <c r="B34" s="17" t="n">
        <v>4700</v>
      </c>
      <c r="C34" s="17" t="n">
        <v>3887</v>
      </c>
      <c r="D34" s="17" t="n">
        <v>3413</v>
      </c>
      <c r="E34" s="17" t="n">
        <v>3213</v>
      </c>
      <c r="F34" s="17" t="n">
        <v>3113</v>
      </c>
      <c r="G34" s="17" t="n">
        <v>3113</v>
      </c>
      <c r="H34" s="17" t="n">
        <v>3113</v>
      </c>
      <c r="I34" s="17" t="n">
        <v>3113</v>
      </c>
    </row>
    <row r="35">
      <c r="A35" s="4" t="inlineStr">
        <is>
          <t>Memo: Total cash &amp; IB investments</t>
        </is>
      </c>
      <c r="B35" s="17" t="n">
        <v>6400</v>
      </c>
      <c r="C35" s="17" t="n">
        <v>8741</v>
      </c>
      <c r="D35" s="17" t="n">
        <v>6791</v>
      </c>
      <c r="E35" s="17" t="n">
        <v>5999</v>
      </c>
      <c r="F35" s="17" t="n">
        <v>6376</v>
      </c>
      <c r="G35" s="17" t="n">
        <v>7249</v>
      </c>
      <c r="H35" s="17" t="n">
        <v>8556</v>
      </c>
      <c r="I35" s="17" t="n">
        <v>9756</v>
      </c>
    </row>
    <row r="36">
      <c r="A36" s="4" t="inlineStr">
        <is>
          <t>Memo: Net cash / (debt)</t>
        </is>
      </c>
      <c r="B36" s="14" t="n">
        <v>1700</v>
      </c>
      <c r="C36" s="14" t="n">
        <v>4854</v>
      </c>
      <c r="D36" s="14" t="n">
        <v>3378</v>
      </c>
      <c r="E36" s="14" t="n">
        <v>2786</v>
      </c>
      <c r="F36" s="14" t="n">
        <v>3263</v>
      </c>
      <c r="G36" s="14" t="n">
        <v>4136</v>
      </c>
      <c r="H36" s="14" t="n">
        <v>5443</v>
      </c>
      <c r="I36" s="14" t="n">
        <v>6643</v>
      </c>
    </row>
    <row r="37">
      <c r="A37" s="5" t="inlineStr">
        <is>
          <t>Memo: Net debt / EBITDA (x)</t>
        </is>
      </c>
      <c r="B37" s="18" t="n">
        <v>-0.5731625084288604</v>
      </c>
      <c r="C37" s="18" t="n">
        <v>-1.784558823529412</v>
      </c>
      <c r="D37" s="18" t="n">
        <v>-1.185263157894737</v>
      </c>
      <c r="E37" s="18" t="n">
        <v>-0.9295962629295963</v>
      </c>
      <c r="F37" s="18" t="n">
        <v>-1.062520351676978</v>
      </c>
      <c r="G37" s="18" t="n">
        <v>-1.285669878769039</v>
      </c>
      <c r="H37" s="18" t="n">
        <v>-1.633063306330633</v>
      </c>
      <c r="I37" s="18" t="n">
        <v>-1.855068416643396</v>
      </c>
    </row>
    <row r="38">
      <c r="A38" s="5" t="inlineStr">
        <is>
          <t>Memo: Equity / Assets (%)</t>
        </is>
      </c>
      <c r="B38" s="11" t="n">
        <v>0.3173076923076923</v>
      </c>
      <c r="C38" s="11" t="n">
        <v>0.3698730245729424</v>
      </c>
      <c r="D38" s="11" t="n">
        <v>0.3679727949511351</v>
      </c>
      <c r="E38" s="11" t="n">
        <v>0.3548758121172557</v>
      </c>
      <c r="F38" s="11" t="n">
        <v>0.3618113345076839</v>
      </c>
      <c r="G38" s="11" t="n">
        <v>0.3739954244148531</v>
      </c>
      <c r="H38" s="11" t="n">
        <v>0.3918721563781385</v>
      </c>
      <c r="I38" s="11" t="n">
        <v>0.4070624443184579</v>
      </c>
    </row>
    <row r="39">
      <c r="A39" s="5" t="inlineStr">
        <is>
          <t>Memo: ROE (%)</t>
        </is>
      </c>
      <c r="B39" s="11" t="n">
        <v>0.05545454545454546</v>
      </c>
      <c r="C39" s="11" t="n">
        <v>0.09409730797727835</v>
      </c>
      <c r="D39" s="11" t="n">
        <v>0.03646657230871701</v>
      </c>
      <c r="E39" s="11" t="n">
        <v>0.06324456902592852</v>
      </c>
      <c r="F39" s="11" t="n">
        <v>0.08092000335767649</v>
      </c>
      <c r="G39" s="11" t="n">
        <v>0.09544349462787233</v>
      </c>
      <c r="H39" s="11" t="n">
        <v>0.106142048305024</v>
      </c>
      <c r="I39" s="11" t="n">
        <v>0.121766812574612</v>
      </c>
    </row>
    <row r="41">
      <c r="A41" s="9" t="inlineStr">
        <is>
          <t>Sources</t>
        </is>
      </c>
    </row>
    <row r="42">
      <c r="A42" s="10" t="inlineStr">
        <is>
          <t>FY2024-FY2025 cash, IB investments, net cash</t>
        </is>
      </c>
      <c r="B42" s="13" t="inlineStr">
        <is>
          <t>Form 20-F p. 66 (cash 5,462/6,623; total cash &amp; IB invest 6,791/8,741; net cash 3,378/4,854)</t>
        </is>
      </c>
    </row>
    <row r="43">
      <c r="A43" s="10" t="inlineStr">
        <is>
          <t>FY2024-FY2025 total assets, equity, IB liab</t>
        </is>
      </c>
      <c r="B43" s="13" t="inlineStr">
        <is>
          <t>Form 20-F p. 66</t>
        </is>
      </c>
    </row>
    <row r="44">
      <c r="A44" s="10" t="inlineStr">
        <is>
          <t>FY2025 IB liabilities EUR 3,413M; equity EUR 20,967M; assets EUR 37,597M</t>
        </is>
      </c>
      <c r="B44" s="13" t="inlineStr">
        <is>
          <t>Form 20-F p. 66</t>
        </is>
      </c>
    </row>
    <row r="45">
      <c r="A45" s="10" t="inlineStr">
        <is>
          <t>FY2023 estimates (no balance sheet disclosed in this 20-F's 3-yr select)</t>
        </is>
      </c>
      <c r="B45" s="13" t="inlineStr">
        <is>
          <t>Backed out from FY24 reported + FY23 CF changes; some line items analyst estimate</t>
        </is>
      </c>
    </row>
    <row r="46">
      <c r="A46" s="10" t="inlineStr">
        <is>
          <t>FY2026E-FY2030E projections</t>
        </is>
      </c>
      <c r="B46" s="13" t="inlineStr">
        <is>
          <t>Analyst estimate. Working capital scales with revenue; debt declines on maturity schedule</t>
        </is>
      </c>
    </row>
    <row r="47">
      <c r="A47" s="10" t="inlineStr">
        <is>
          <t>Goodwill bump FY25 +EUR 833M</t>
        </is>
      </c>
      <c r="B47" s="13" t="inlineStr">
        <is>
          <t>Form 20-F Note 6.2 Acquisitions p. 185 (Infinera allocation)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Nokia — Bull / Base / Bear Scenarios</t>
        </is>
      </c>
    </row>
    <row r="2">
      <c r="A2" s="2" t="inlineStr">
        <is>
          <t>EUR millions unless noted. Base case mirrors Income Statement. Sensitized to NS CAGR, comp-OM, FCF conv.</t>
        </is>
      </c>
    </row>
    <row r="4">
      <c r="A4" s="3" t="inlineStr">
        <is>
          <t>Metric</t>
        </is>
      </c>
      <c r="B4" s="3" t="inlineStr">
        <is>
          <t>FY2025A</t>
        </is>
      </c>
      <c r="C4" s="3" t="inlineStr">
        <is>
          <t>FY2026E</t>
        </is>
      </c>
      <c r="D4" s="3" t="inlineStr">
        <is>
          <t>FY2027E</t>
        </is>
      </c>
      <c r="E4" s="3" t="inlineStr">
        <is>
          <t>FY2028E</t>
        </is>
      </c>
      <c r="F4" s="3" t="inlineStr">
        <is>
          <t>FY2029E</t>
        </is>
      </c>
      <c r="G4" s="3" t="inlineStr">
        <is>
          <t>FY2030E</t>
        </is>
      </c>
    </row>
    <row r="5">
      <c r="A5" s="19" t="inlineStr">
        <is>
          <t>BASE CASE (mirrors Income Statement)</t>
        </is>
      </c>
    </row>
    <row r="6">
      <c r="A6" s="5" t="inlineStr">
        <is>
          <t xml:space="preserve">    Net sales (EUR M)</t>
        </is>
      </c>
      <c r="B6" s="6" t="n">
        <v>19889</v>
      </c>
      <c r="C6" s="6" t="n">
        <v>20868</v>
      </c>
      <c r="D6" s="6" t="n">
        <v>21878</v>
      </c>
      <c r="E6" s="6" t="n">
        <v>22747</v>
      </c>
      <c r="F6" s="6" t="n">
        <v>23529</v>
      </c>
      <c r="G6" s="6" t="n">
        <v>24267</v>
      </c>
    </row>
    <row r="7">
      <c r="A7" s="5" t="inlineStr">
        <is>
          <t xml:space="preserve">    NS YoY growth %</t>
        </is>
      </c>
      <c r="B7" s="11" t="n">
        <v>0.035</v>
      </c>
      <c r="C7" s="11" t="n">
        <v>0.049</v>
      </c>
      <c r="D7" s="11" t="n">
        <v>0.048</v>
      </c>
      <c r="E7" s="11" t="n">
        <v>0.04</v>
      </c>
      <c r="F7" s="11" t="n">
        <v>0.034</v>
      </c>
      <c r="G7" s="11" t="n">
        <v>0.031</v>
      </c>
    </row>
    <row r="8">
      <c r="A8" s="5" t="inlineStr">
        <is>
          <t xml:space="preserve">    Comp-OP (EUR M)</t>
        </is>
      </c>
      <c r="B8" s="6" t="n">
        <v>2000</v>
      </c>
      <c r="C8" s="6" t="n">
        <v>2090</v>
      </c>
      <c r="D8" s="6" t="n">
        <v>2370</v>
      </c>
      <c r="E8" s="6" t="n">
        <v>2700</v>
      </c>
      <c r="F8" s="6" t="n">
        <v>2900</v>
      </c>
      <c r="G8" s="6" t="n">
        <v>3050</v>
      </c>
    </row>
    <row r="9">
      <c r="A9" s="5" t="inlineStr">
        <is>
          <t xml:space="preserve">    Comp-OM %</t>
        </is>
      </c>
      <c r="B9" s="11" t="n">
        <v>0.101</v>
      </c>
      <c r="C9" s="11" t="n">
        <v>0.1</v>
      </c>
      <c r="D9" s="11" t="n">
        <v>0.108</v>
      </c>
      <c r="E9" s="11" t="n">
        <v>0.119</v>
      </c>
      <c r="F9" s="11" t="n">
        <v>0.123</v>
      </c>
      <c r="G9" s="11" t="n">
        <v>0.126</v>
      </c>
    </row>
    <row r="10">
      <c r="A10" s="5" t="inlineStr">
        <is>
          <t xml:space="preserve">    FCF (EUR M)</t>
        </is>
      </c>
      <c r="B10" s="6" t="n">
        <v>1465</v>
      </c>
      <c r="C10" s="6" t="n">
        <v>1500</v>
      </c>
      <c r="D10" s="6" t="n">
        <v>1650</v>
      </c>
      <c r="E10" s="6" t="n">
        <v>1800</v>
      </c>
      <c r="F10" s="6" t="n">
        <v>1950</v>
      </c>
      <c r="G10" s="6" t="n">
        <v>2100</v>
      </c>
    </row>
    <row r="11">
      <c r="A11" s="5" t="inlineStr">
        <is>
          <t xml:space="preserve">    FCF conversion %</t>
        </is>
      </c>
      <c r="B11" s="11" t="n">
        <v>0.733</v>
      </c>
      <c r="C11" s="11" t="n">
        <v>0.718</v>
      </c>
      <c r="D11" s="11" t="n">
        <v>0.696</v>
      </c>
      <c r="E11" s="11" t="n">
        <v>0.667</v>
      </c>
      <c r="F11" s="11" t="n">
        <v>0.672</v>
      </c>
      <c r="G11" s="11" t="n">
        <v>0.6889999999999999</v>
      </c>
    </row>
    <row r="12">
      <c r="A12" s="5" t="inlineStr">
        <is>
          <t xml:space="preserve">    EPS diluted (EUR)</t>
        </is>
      </c>
      <c r="B12" s="15" t="n">
        <v>0.11</v>
      </c>
      <c r="C12" s="15" t="n">
        <v>0.13</v>
      </c>
      <c r="D12" s="15" t="n">
        <v>0.17</v>
      </c>
      <c r="E12" s="15" t="n">
        <v>0.2</v>
      </c>
      <c r="F12" s="15" t="n">
        <v>0.22</v>
      </c>
      <c r="G12" s="15" t="n">
        <v>0.24</v>
      </c>
    </row>
    <row r="14">
      <c r="A14" s="20" t="inlineStr">
        <is>
          <t>BULL CASE — AI/Optical accelerates, AI-RAN GA on time</t>
        </is>
      </c>
    </row>
    <row r="15">
      <c r="A15" s="5" t="inlineStr">
        <is>
          <t xml:space="preserve">    Net sales (EUR M)</t>
        </is>
      </c>
      <c r="B15" s="6" t="n">
        <v>19889</v>
      </c>
      <c r="C15" s="6" t="n">
        <v>21500</v>
      </c>
      <c r="D15" s="6" t="n">
        <v>23500</v>
      </c>
      <c r="E15" s="6" t="n">
        <v>25500</v>
      </c>
      <c r="F15" s="6" t="n">
        <v>27500</v>
      </c>
      <c r="G15" s="6" t="n">
        <v>29500</v>
      </c>
    </row>
    <row r="16">
      <c r="A16" s="5" t="inlineStr">
        <is>
          <t xml:space="preserve">    NS YoY growth %</t>
        </is>
      </c>
      <c r="B16" s="11" t="n">
        <v>0.035</v>
      </c>
      <c r="C16" s="11" t="n">
        <v>0.081</v>
      </c>
      <c r="D16" s="11" t="n">
        <v>0.093</v>
      </c>
      <c r="E16" s="11" t="n">
        <v>0.08500000000000001</v>
      </c>
      <c r="F16" s="11" t="n">
        <v>0.078</v>
      </c>
      <c r="G16" s="11" t="n">
        <v>0.073</v>
      </c>
    </row>
    <row r="17">
      <c r="A17" s="5" t="inlineStr">
        <is>
          <t xml:space="preserve">    Comp-OP (EUR M)</t>
        </is>
      </c>
      <c r="B17" s="6" t="n">
        <v>2000</v>
      </c>
      <c r="C17" s="6" t="n">
        <v>2350</v>
      </c>
      <c r="D17" s="6" t="n">
        <v>2900</v>
      </c>
      <c r="E17" s="6" t="n">
        <v>3500</v>
      </c>
      <c r="F17" s="6" t="n">
        <v>4000</v>
      </c>
      <c r="G17" s="6" t="n">
        <v>4500</v>
      </c>
    </row>
    <row r="18">
      <c r="A18" s="5" t="inlineStr">
        <is>
          <t xml:space="preserve">    Comp-OM %</t>
        </is>
      </c>
      <c r="B18" s="11" t="n">
        <v>0.101</v>
      </c>
      <c r="C18" s="11" t="n">
        <v>0.109</v>
      </c>
      <c r="D18" s="11" t="n">
        <v>0.123</v>
      </c>
      <c r="E18" s="11" t="n">
        <v>0.137</v>
      </c>
      <c r="F18" s="11" t="n">
        <v>0.145</v>
      </c>
      <c r="G18" s="11" t="n">
        <v>0.153</v>
      </c>
    </row>
    <row r="19">
      <c r="A19" s="5" t="inlineStr">
        <is>
          <t xml:space="preserve">    FCF (EUR M)</t>
        </is>
      </c>
      <c r="B19" s="6" t="n">
        <v>1465</v>
      </c>
      <c r="C19" s="6" t="n">
        <v>1650</v>
      </c>
      <c r="D19" s="6" t="n">
        <v>2000</v>
      </c>
      <c r="E19" s="6" t="n">
        <v>2500</v>
      </c>
      <c r="F19" s="6" t="n">
        <v>2950</v>
      </c>
      <c r="G19" s="6" t="n">
        <v>3400</v>
      </c>
    </row>
    <row r="20">
      <c r="A20" s="5" t="inlineStr">
        <is>
          <t xml:space="preserve">    FCF conversion %</t>
        </is>
      </c>
      <c r="B20" s="11" t="n">
        <v>0.733</v>
      </c>
      <c r="C20" s="11" t="n">
        <v>0.702</v>
      </c>
      <c r="D20" s="11" t="n">
        <v>0.6899999999999999</v>
      </c>
      <c r="E20" s="11" t="n">
        <v>0.714</v>
      </c>
      <c r="F20" s="11" t="n">
        <v>0.738</v>
      </c>
      <c r="G20" s="11" t="n">
        <v>0.756</v>
      </c>
    </row>
    <row r="21">
      <c r="A21" s="5" t="inlineStr">
        <is>
          <t xml:space="preserve">    EPS diluted (EUR)</t>
        </is>
      </c>
      <c r="B21" s="15" t="n">
        <v>0.11</v>
      </c>
      <c r="C21" s="15" t="n">
        <v>0.16</v>
      </c>
      <c r="D21" s="15" t="n">
        <v>0.22</v>
      </c>
      <c r="E21" s="15" t="n">
        <v>0.28</v>
      </c>
      <c r="F21" s="15" t="n">
        <v>0.33</v>
      </c>
      <c r="G21" s="15" t="n">
        <v>0.39</v>
      </c>
    </row>
    <row r="22">
      <c r="A22" s="5" t="inlineStr">
        <is>
          <t xml:space="preserve">    Key assumptions</t>
        </is>
      </c>
    </row>
    <row r="23">
      <c r="A23" s="5" t="inlineStr">
        <is>
          <t xml:space="preserve">      NI revenue CAGR FY25-30</t>
        </is>
      </c>
      <c r="B23" s="11" t="n">
        <v>0.16</v>
      </c>
    </row>
    <row r="24">
      <c r="A24" s="5" t="inlineStr">
        <is>
          <t xml:space="preserve">      AI &amp; Cloud customer mix by FY30</t>
        </is>
      </c>
      <c r="B24" s="11" t="n">
        <v>0.3</v>
      </c>
    </row>
    <row r="25">
      <c r="A25" s="5" t="inlineStr">
        <is>
          <t xml:space="preserve">      AI-RAN GA on time (late 2027); meaningful revenue FY29-30</t>
        </is>
      </c>
      <c r="B25" s="10" t="inlineStr">
        <is>
          <t>YES</t>
        </is>
      </c>
    </row>
    <row r="26">
      <c r="A26" s="5" t="inlineStr">
        <is>
          <t xml:space="preserve">      NVIDIA partnership commercial pull-through</t>
        </is>
      </c>
      <c r="B26" s="10" t="inlineStr">
        <is>
          <t>Strong</t>
        </is>
      </c>
    </row>
    <row r="28">
      <c r="A28" s="21" t="inlineStr">
        <is>
          <t>BEAR CASE — RAN drag worsens, Infinera integration slips</t>
        </is>
      </c>
    </row>
    <row r="29">
      <c r="A29" s="5" t="inlineStr">
        <is>
          <t xml:space="preserve">    Net sales (EUR M)</t>
        </is>
      </c>
      <c r="B29" s="6" t="n">
        <v>19889</v>
      </c>
      <c r="C29" s="6" t="n">
        <v>19800</v>
      </c>
      <c r="D29" s="6" t="n">
        <v>19500</v>
      </c>
      <c r="E29" s="6" t="n">
        <v>19200</v>
      </c>
      <c r="F29" s="6" t="n">
        <v>19000</v>
      </c>
      <c r="G29" s="6" t="n">
        <v>18800</v>
      </c>
    </row>
    <row r="30">
      <c r="A30" s="5" t="inlineStr">
        <is>
          <t xml:space="preserve">    NS YoY growth %</t>
        </is>
      </c>
      <c r="B30" s="11" t="n">
        <v>0.035</v>
      </c>
      <c r="C30" s="11" t="n">
        <v>-0.004</v>
      </c>
      <c r="D30" s="11" t="n">
        <v>-0.015</v>
      </c>
      <c r="E30" s="11" t="n">
        <v>-0.015</v>
      </c>
      <c r="F30" s="11" t="n">
        <v>-0.01</v>
      </c>
      <c r="G30" s="11" t="n">
        <v>-0.011</v>
      </c>
    </row>
    <row r="31">
      <c r="A31" s="5" t="inlineStr">
        <is>
          <t xml:space="preserve">    Comp-OP (EUR M)</t>
        </is>
      </c>
      <c r="B31" s="6" t="n">
        <v>2000</v>
      </c>
      <c r="C31" s="6" t="n">
        <v>1800</v>
      </c>
      <c r="D31" s="6" t="n">
        <v>1700</v>
      </c>
      <c r="E31" s="6" t="n">
        <v>1600</v>
      </c>
      <c r="F31" s="6" t="n">
        <v>1550</v>
      </c>
      <c r="G31" s="6" t="n">
        <v>1500</v>
      </c>
    </row>
    <row r="32">
      <c r="A32" s="5" t="inlineStr">
        <is>
          <t xml:space="preserve">    Comp-OM %</t>
        </is>
      </c>
      <c r="B32" s="11" t="n">
        <v>0.101</v>
      </c>
      <c r="C32" s="11" t="n">
        <v>0.091</v>
      </c>
      <c r="D32" s="11" t="n">
        <v>0.08699999999999999</v>
      </c>
      <c r="E32" s="11" t="n">
        <v>0.083</v>
      </c>
      <c r="F32" s="11" t="n">
        <v>0.082</v>
      </c>
      <c r="G32" s="11" t="n">
        <v>0.08</v>
      </c>
    </row>
    <row r="33">
      <c r="A33" s="5" t="inlineStr">
        <is>
          <t xml:space="preserve">    FCF (EUR M)</t>
        </is>
      </c>
      <c r="B33" s="6" t="n">
        <v>1465</v>
      </c>
      <c r="C33" s="6" t="n">
        <v>1200</v>
      </c>
      <c r="D33" s="6" t="n">
        <v>1050</v>
      </c>
      <c r="E33" s="6" t="n">
        <v>950</v>
      </c>
      <c r="F33" s="6" t="n">
        <v>900</v>
      </c>
      <c r="G33" s="6" t="n">
        <v>850</v>
      </c>
    </row>
    <row r="34">
      <c r="A34" s="5" t="inlineStr">
        <is>
          <t xml:space="preserve">    FCF conversion %</t>
        </is>
      </c>
      <c r="B34" s="11" t="n">
        <v>0.733</v>
      </c>
      <c r="C34" s="11" t="n">
        <v>0.667</v>
      </c>
      <c r="D34" s="11" t="n">
        <v>0.618</v>
      </c>
      <c r="E34" s="11" t="n">
        <v>0.594</v>
      </c>
      <c r="F34" s="11" t="n">
        <v>0.581</v>
      </c>
      <c r="G34" s="11" t="n">
        <v>0.5669999999999999</v>
      </c>
    </row>
    <row r="35">
      <c r="A35" s="5" t="inlineStr">
        <is>
          <t xml:space="preserve">    EPS diluted (EUR)</t>
        </is>
      </c>
      <c r="B35" s="15" t="n">
        <v>0.11</v>
      </c>
      <c r="C35" s="15" t="n">
        <v>0.09</v>
      </c>
      <c r="D35" s="15" t="n">
        <v>0.08</v>
      </c>
      <c r="E35" s="15" t="n">
        <v>0.07000000000000001</v>
      </c>
      <c r="F35" s="15" t="n">
        <v>0.07000000000000001</v>
      </c>
      <c r="G35" s="15" t="n">
        <v>0.06</v>
      </c>
    </row>
    <row r="36">
      <c r="A36" s="5" t="inlineStr">
        <is>
          <t xml:space="preserve">    Key assumptions</t>
        </is>
      </c>
    </row>
    <row r="37">
      <c r="A37" s="5" t="inlineStr">
        <is>
          <t xml:space="preserve">      NI revenue CAGR FY25-30</t>
        </is>
      </c>
      <c r="B37" s="11" t="n">
        <v>0.02</v>
      </c>
    </row>
    <row r="38">
      <c r="A38" s="5" t="inlineStr">
        <is>
          <t xml:space="preserve">      Mobile Networks revenue CAGR FY25-30</t>
        </is>
      </c>
      <c r="B38" s="11" t="n">
        <v>-0.04</v>
      </c>
    </row>
    <row r="39">
      <c r="A39" s="5" t="inlineStr">
        <is>
          <t xml:space="preserve">      AI-RAN GA delayed beyond 2028</t>
        </is>
      </c>
      <c r="B39" s="10" t="inlineStr">
        <is>
          <t>YES</t>
        </is>
      </c>
    </row>
    <row r="40">
      <c r="A40" s="5" t="inlineStr">
        <is>
          <t xml:space="preserve">      Hyperscaler order lumpiness; AT&amp;T RAN runoff continues</t>
        </is>
      </c>
      <c r="B40" s="10" t="inlineStr">
        <is>
          <t>YES</t>
        </is>
      </c>
    </row>
    <row r="43">
      <c r="A43" s="9" t="inlineStr">
        <is>
          <t>Scenario summary — implied FY2030 valuation</t>
        </is>
      </c>
    </row>
    <row r="44">
      <c r="A44" s="3" t="inlineStr">
        <is>
          <t>Case</t>
        </is>
      </c>
      <c r="B44" s="3" t="inlineStr">
        <is>
          <t>FY30 Comp-OP (EUR M)</t>
        </is>
      </c>
      <c r="C44" s="3" t="inlineStr">
        <is>
          <t>Multiple (x)</t>
        </is>
      </c>
      <c r="D44" s="3" t="inlineStr">
        <is>
          <t>Implied EV (EUR M)</t>
        </is>
      </c>
      <c r="E44" s="3" t="inlineStr">
        <is>
          <t>Net cash (EUR M)</t>
        </is>
      </c>
      <c r="F44" s="3" t="inlineStr">
        <is>
          <t>Implied equity (EUR M)</t>
        </is>
      </c>
      <c r="G44" s="3" t="inlineStr">
        <is>
          <t>Shares (M)</t>
        </is>
      </c>
      <c r="H44" s="3" t="inlineStr">
        <is>
          <t>Implied price/sh (EUR)</t>
        </is>
      </c>
      <c r="I44" s="3" t="inlineStr">
        <is>
          <t>Implied ADR price (USD)</t>
        </is>
      </c>
    </row>
    <row r="45">
      <c r="A45" s="4" t="inlineStr">
        <is>
          <t>Bear</t>
        </is>
      </c>
      <c r="B45" s="6" t="n">
        <v>1500</v>
      </c>
      <c r="C45" s="22" t="n">
        <v>15</v>
      </c>
      <c r="D45" s="6" t="n">
        <v>22500</v>
      </c>
      <c r="E45" s="6" t="n">
        <v>8000</v>
      </c>
      <c r="F45" s="6" t="n">
        <v>30500</v>
      </c>
      <c r="G45" s="6" t="n">
        <v>5350</v>
      </c>
      <c r="H45" s="23" t="n">
        <v>5.700934579439252</v>
      </c>
      <c r="I45" s="24" t="n">
        <v>6.157009345794393</v>
      </c>
    </row>
    <row r="46">
      <c r="A46" s="4" t="inlineStr">
        <is>
          <t>Base</t>
        </is>
      </c>
      <c r="B46" s="6" t="n">
        <v>3050</v>
      </c>
      <c r="C46" s="22" t="n">
        <v>22</v>
      </c>
      <c r="D46" s="6" t="n">
        <v>67100</v>
      </c>
      <c r="E46" s="6" t="n">
        <v>11000</v>
      </c>
      <c r="F46" s="6" t="n">
        <v>78100</v>
      </c>
      <c r="G46" s="6" t="n">
        <v>5350</v>
      </c>
      <c r="H46" s="23" t="n">
        <v>14.5981308411215</v>
      </c>
      <c r="I46" s="24" t="n">
        <v>15.76598130841122</v>
      </c>
    </row>
    <row r="47">
      <c r="A47" s="4" t="inlineStr">
        <is>
          <t>Bull</t>
        </is>
      </c>
      <c r="B47" s="6" t="n">
        <v>4500</v>
      </c>
      <c r="C47" s="22" t="n">
        <v>28</v>
      </c>
      <c r="D47" s="6" t="n">
        <v>126000</v>
      </c>
      <c r="E47" s="6" t="n">
        <v>14000</v>
      </c>
      <c r="F47" s="6" t="n">
        <v>140000</v>
      </c>
      <c r="G47" s="6" t="n">
        <v>5350</v>
      </c>
      <c r="H47" s="23" t="n">
        <v>26.16822429906542</v>
      </c>
      <c r="I47" s="24" t="n">
        <v>28.26168224299066</v>
      </c>
    </row>
    <row r="50">
      <c r="A50" s="9" t="inlineStr">
        <is>
          <t>Sources</t>
        </is>
      </c>
    </row>
    <row r="51">
      <c r="A51" s="10" t="inlineStr">
        <is>
          <t>All historical anchors</t>
        </is>
      </c>
      <c r="B51" s="10" t="inlineStr">
        <is>
          <t>Form 20-F FY2025 + Q1 2026 interim</t>
        </is>
      </c>
    </row>
    <row r="52">
      <c r="A52" s="10" t="inlineStr">
        <is>
          <t>CMD 2025 long-term target EUR 2.7-3.2B comp-OP by 2028</t>
        </is>
      </c>
      <c r="B52" s="10" t="inlineStr">
        <is>
          <t>Nokia CMD 2025 strategy release</t>
        </is>
      </c>
    </row>
    <row r="53">
      <c r="A53" s="10" t="inlineStr">
        <is>
          <t>Scenario parameters</t>
        </is>
      </c>
      <c r="B53" s="10" t="inlineStr">
        <is>
          <t>Analyst estimate. Bull: AI-RAN GA on time + hyperscaler ramp. Bear: AT&amp;T RAN runoff + Infinera integration slips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</cols>
  <sheetData>
    <row r="1">
      <c r="A1" s="1" t="inlineStr">
        <is>
          <t>Nokia — DCF Inputs (Unlevered FCF, WACC components, terminal)</t>
        </is>
      </c>
    </row>
    <row r="2">
      <c r="A2" s="2" t="inlineStr">
        <is>
          <t>EUR millions unless noted. Base case mirrors Income Statement. Used in Task 3 Valuation tab.</t>
        </is>
      </c>
    </row>
    <row r="4">
      <c r="A4" s="3" t="inlineStr">
        <is>
          <t>Item (EUR M unless noted)</t>
        </is>
      </c>
      <c r="B4" s="3" t="inlineStr">
        <is>
          <t>FY2025A</t>
        </is>
      </c>
      <c r="C4" s="3" t="inlineStr">
        <is>
          <t>FY2026E</t>
        </is>
      </c>
      <c r="D4" s="3" t="inlineStr">
        <is>
          <t>FY2027E</t>
        </is>
      </c>
      <c r="E4" s="3" t="inlineStr">
        <is>
          <t>FY2028E</t>
        </is>
      </c>
      <c r="F4" s="3" t="inlineStr">
        <is>
          <t>FY2029E</t>
        </is>
      </c>
      <c r="G4" s="3" t="inlineStr">
        <is>
          <t>FY2030E</t>
        </is>
      </c>
      <c r="H4" s="3" t="inlineStr">
        <is>
          <t>Terminal</t>
        </is>
      </c>
    </row>
    <row r="5">
      <c r="A5" s="5" t="inlineStr">
        <is>
          <t xml:space="preserve">  Net sales</t>
        </is>
      </c>
      <c r="B5" s="6" t="n">
        <v>19889</v>
      </c>
      <c r="C5" s="6" t="n">
        <v>20868</v>
      </c>
      <c r="D5" s="6" t="n">
        <v>21878</v>
      </c>
      <c r="E5" s="6" t="n">
        <v>22747</v>
      </c>
      <c r="F5" s="6" t="n">
        <v>23529</v>
      </c>
      <c r="G5" s="6" t="n">
        <v>24267</v>
      </c>
      <c r="H5" s="6" t="n">
        <v>24752</v>
      </c>
    </row>
    <row r="6">
      <c r="A6" s="4" t="inlineStr">
        <is>
          <t xml:space="preserve">  Comparable operating profit (EBIT)</t>
        </is>
      </c>
      <c r="B6" s="7" t="n">
        <v>2000</v>
      </c>
      <c r="C6" s="7" t="n">
        <v>2090</v>
      </c>
      <c r="D6" s="7" t="n">
        <v>2370</v>
      </c>
      <c r="E6" s="7" t="n">
        <v>2700</v>
      </c>
      <c r="F6" s="7" t="n">
        <v>2900</v>
      </c>
      <c r="G6" s="7" t="n">
        <v>3050</v>
      </c>
      <c r="H6" s="7" t="n">
        <v>3170</v>
      </c>
    </row>
    <row r="7">
      <c r="A7" s="5" t="inlineStr">
        <is>
          <t xml:space="preserve">      Comp-OM %</t>
        </is>
      </c>
      <c r="B7" s="11" t="n">
        <v>0.1005580974407964</v>
      </c>
      <c r="C7" s="11" t="n">
        <v>0.1001533448341959</v>
      </c>
      <c r="D7" s="11" t="n">
        <v>0.1083280007313283</v>
      </c>
      <c r="E7" s="11" t="n">
        <v>0.1186969710291467</v>
      </c>
      <c r="F7" s="11" t="n">
        <v>0.123252156912746</v>
      </c>
      <c r="G7" s="11" t="n">
        <v>0.125685086743314</v>
      </c>
      <c r="H7" s="11" t="n">
        <v>0.1280704589528119</v>
      </c>
    </row>
    <row r="8">
      <c r="A8" s="5" t="inlineStr">
        <is>
          <t xml:space="preserve">  Tax on EBIT @ 21%</t>
        </is>
      </c>
      <c r="B8" s="6" t="n">
        <v>-420</v>
      </c>
      <c r="C8" s="6" t="n">
        <v>-439</v>
      </c>
      <c r="D8" s="6" t="n">
        <v>-498</v>
      </c>
      <c r="E8" s="6" t="n">
        <v>-567</v>
      </c>
      <c r="F8" s="6" t="n">
        <v>-609</v>
      </c>
      <c r="G8" s="6" t="n">
        <v>-640</v>
      </c>
      <c r="H8" s="6" t="n">
        <v>-666</v>
      </c>
    </row>
    <row r="9">
      <c r="A9" s="4" t="inlineStr">
        <is>
          <t xml:space="preserve">  EBIAT (NOPAT)</t>
        </is>
      </c>
      <c r="B9" s="7" t="n">
        <v>1580</v>
      </c>
      <c r="C9" s="7" t="n">
        <v>1651</v>
      </c>
      <c r="D9" s="7" t="n">
        <v>1872</v>
      </c>
      <c r="E9" s="7" t="n">
        <v>2133</v>
      </c>
      <c r="F9" s="7" t="n">
        <v>2291</v>
      </c>
      <c r="G9" s="7" t="n">
        <v>2410</v>
      </c>
      <c r="H9" s="7" t="n">
        <v>2504</v>
      </c>
    </row>
    <row r="10">
      <c r="A10" s="5" t="inlineStr">
        <is>
          <t xml:space="preserve">  (+) D&amp;A</t>
        </is>
      </c>
      <c r="B10" s="6" t="n">
        <v>1050</v>
      </c>
      <c r="C10" s="6" t="n">
        <v>1100</v>
      </c>
      <c r="D10" s="6" t="n">
        <v>1100</v>
      </c>
      <c r="E10" s="6" t="n">
        <v>1080</v>
      </c>
      <c r="F10" s="6" t="n">
        <v>1050</v>
      </c>
      <c r="G10" s="6" t="n">
        <v>1020</v>
      </c>
      <c r="H10" s="6" t="n">
        <v>1020</v>
      </c>
    </row>
    <row r="11">
      <c r="A11" s="5" t="inlineStr">
        <is>
          <t xml:space="preserve">  (-) CapEx</t>
        </is>
      </c>
      <c r="B11" s="6" t="n">
        <v>-606</v>
      </c>
      <c r="C11" s="6" t="n">
        <v>-700</v>
      </c>
      <c r="D11" s="6" t="n">
        <v>-750</v>
      </c>
      <c r="E11" s="6" t="n">
        <v>-800</v>
      </c>
      <c r="F11" s="6" t="n">
        <v>-800</v>
      </c>
      <c r="G11" s="6" t="n">
        <v>-800</v>
      </c>
      <c r="H11" s="6" t="n">
        <v>-800</v>
      </c>
    </row>
    <row r="12">
      <c r="A12" s="5" t="inlineStr">
        <is>
          <t xml:space="preserve">  (-) Δ Working capital</t>
        </is>
      </c>
      <c r="B12" s="6" t="n">
        <v>-50</v>
      </c>
      <c r="C12" s="6" t="n">
        <v>-100</v>
      </c>
      <c r="D12" s="6" t="n">
        <v>-150</v>
      </c>
      <c r="E12" s="6" t="n">
        <v>-100</v>
      </c>
      <c r="F12" s="6" t="n">
        <v>-50</v>
      </c>
      <c r="G12" s="6" t="n">
        <v>0</v>
      </c>
      <c r="H12" s="6" t="n">
        <v>-50</v>
      </c>
    </row>
    <row r="13">
      <c r="A13" s="4" t="inlineStr">
        <is>
          <t xml:space="preserve">  Unlevered free cash flow (UFCF)</t>
        </is>
      </c>
      <c r="B13" s="14" t="n">
        <v>1974</v>
      </c>
      <c r="C13" s="14" t="n">
        <v>1951</v>
      </c>
      <c r="D13" s="14" t="n">
        <v>2072</v>
      </c>
      <c r="E13" s="14" t="n">
        <v>2313</v>
      </c>
      <c r="F13" s="14" t="n">
        <v>2491</v>
      </c>
      <c r="G13" s="14" t="n">
        <v>2630</v>
      </c>
      <c r="H13" s="14" t="n">
        <v>2674</v>
      </c>
    </row>
    <row r="14">
      <c r="A14" s="5" t="inlineStr">
        <is>
          <t xml:space="preserve">  UFCF growth %</t>
        </is>
      </c>
      <c r="C14" s="11" t="n">
        <v>-0.01165146909827763</v>
      </c>
      <c r="D14" s="11" t="n">
        <v>0.06201947719118395</v>
      </c>
      <c r="E14" s="11" t="n">
        <v>0.1163127413127414</v>
      </c>
      <c r="F14" s="11" t="n">
        <v>0.07695633376567224</v>
      </c>
      <c r="G14" s="11" t="n">
        <v>0.05580088317944609</v>
      </c>
      <c r="H14" s="11" t="n">
        <v>0.0167300380228137</v>
      </c>
    </row>
    <row r="17">
      <c r="A17" s="9" t="inlineStr">
        <is>
          <t>WACC Components</t>
        </is>
      </c>
    </row>
    <row r="18">
      <c r="A18" s="5" t="inlineStr">
        <is>
          <t xml:space="preserve">  Risk-free rate (10Y US Treasury proxy)</t>
        </is>
      </c>
      <c r="B18" s="11" t="n">
        <v>0.043</v>
      </c>
      <c r="C18" s="10" t="inlineStr">
        <is>
          <t>Bloomberg / US Treasury, May 2026</t>
        </is>
      </c>
    </row>
    <row r="19">
      <c r="A19" s="5" t="inlineStr">
        <is>
          <t xml:space="preserve">  Equity risk premium (Damodaran 2026)</t>
        </is>
      </c>
      <c r="B19" s="11" t="n">
        <v>0.052</v>
      </c>
      <c r="C19" s="10" t="inlineStr">
        <is>
          <t>NYU Stern - Damodaran ERP estimate</t>
        </is>
      </c>
    </row>
    <row r="20">
      <c r="A20" s="5" t="inlineStr">
        <is>
          <t xml:space="preserve">  Beta (NOK, 5-yr weekly)</t>
        </is>
      </c>
      <c r="B20" s="18" t="n">
        <v>1.1</v>
      </c>
      <c r="C20" s="10" t="inlineStr">
        <is>
          <t>Yahoo Finance / regression vs S&amp;P 500</t>
        </is>
      </c>
    </row>
    <row r="21">
      <c r="A21" s="5" t="inlineStr">
        <is>
          <t xml:space="preserve">  Country/Finland risk premium</t>
        </is>
      </c>
      <c r="B21" s="11" t="n">
        <v>0</v>
      </c>
      <c r="C21" s="10" t="inlineStr">
        <is>
          <t>Damodaran developed-market rating</t>
        </is>
      </c>
    </row>
    <row r="22">
      <c r="A22" s="5" t="inlineStr">
        <is>
          <t xml:space="preserve">  Cost of equity (CAPM)</t>
        </is>
      </c>
      <c r="B22" s="25">
        <f>B18+B20*B19</f>
        <v/>
      </c>
      <c r="C22" s="10" t="inlineStr">
        <is>
          <t>Rf + β * ERP</t>
        </is>
      </c>
    </row>
    <row r="23">
      <c r="A23" s="5" t="inlineStr">
        <is>
          <t xml:space="preserve">  Pre-tax cost of debt</t>
        </is>
      </c>
      <c r="B23" s="11" t="n">
        <v>0.04</v>
      </c>
      <c r="C23" s="10" t="inlineStr">
        <is>
          <t>Nokia outstanding bond YTM, Bloomberg</t>
        </is>
      </c>
    </row>
    <row r="24">
      <c r="A24" s="5" t="inlineStr">
        <is>
          <t xml:space="preserve">  Tax rate</t>
        </is>
      </c>
      <c r="B24" s="11" t="n">
        <v>0.21</v>
      </c>
      <c r="C24" s="10" t="inlineStr">
        <is>
          <t>20-F effective tax disclosure, normalized</t>
        </is>
      </c>
    </row>
    <row r="25">
      <c r="A25" s="5" t="inlineStr">
        <is>
          <t xml:space="preserve">  After-tax cost of debt</t>
        </is>
      </c>
      <c r="B25" s="11">
        <f>B23*(1-B24)</f>
        <v/>
      </c>
      <c r="C25" s="10" t="inlineStr">
        <is>
          <t>Kd_pretax * (1-tax)</t>
        </is>
      </c>
    </row>
    <row r="26">
      <c r="A26" s="5" t="inlineStr">
        <is>
          <t xml:space="preserve">  Target weight of debt</t>
        </is>
      </c>
      <c r="B26" s="11" t="n">
        <v>0.1</v>
      </c>
      <c r="C26" s="10" t="inlineStr">
        <is>
          <t>Nokia net debt/cap, normalized</t>
        </is>
      </c>
    </row>
    <row r="27">
      <c r="A27" s="5" t="inlineStr">
        <is>
          <t xml:space="preserve">  Target weight of equity</t>
        </is>
      </c>
      <c r="B27" s="11" t="n">
        <v>0.9</v>
      </c>
      <c r="C27" s="10" t="inlineStr"/>
    </row>
    <row r="28">
      <c r="A28" s="5" t="inlineStr">
        <is>
          <t xml:space="preserve">  WACC</t>
        </is>
      </c>
      <c r="B28" s="26">
        <f>B22*B27+B25*B26</f>
        <v/>
      </c>
      <c r="C28" s="10" t="inlineStr">
        <is>
          <t>Ke * we + Kd_at * wd</t>
        </is>
      </c>
    </row>
    <row r="31">
      <c r="A31" s="9" t="inlineStr">
        <is>
          <t>Terminal value assumptions</t>
        </is>
      </c>
    </row>
    <row r="32">
      <c r="A32" s="5" t="inlineStr">
        <is>
          <t xml:space="preserve">  Terminal year UFCF (EUR M)</t>
        </is>
      </c>
      <c r="B32" s="6" t="n">
        <v>2674</v>
      </c>
      <c r="C32" s="10" t="inlineStr">
        <is>
          <t>Year 7 (one normalized year past explicit period)</t>
        </is>
      </c>
    </row>
    <row r="33">
      <c r="A33" s="5" t="inlineStr">
        <is>
          <t xml:space="preserve">  Terminal growth rate (g)</t>
        </is>
      </c>
      <c r="B33" s="11" t="n">
        <v>0.02</v>
      </c>
      <c r="C33" s="10" t="inlineStr">
        <is>
          <t>Long-run developed-market nominal GDP-like</t>
        </is>
      </c>
    </row>
    <row r="34">
      <c r="A34" s="5" t="inlineStr">
        <is>
          <t xml:space="preserve">  Terminal multiple alternative — EV/Comp-OP (x)</t>
        </is>
      </c>
      <c r="B34" s="6" t="n">
        <v>13</v>
      </c>
      <c r="C34" s="10" t="inlineStr">
        <is>
          <t>5-yr Cisco median; sanity check on Gordon Growth</t>
        </is>
      </c>
    </row>
    <row r="36">
      <c r="A36" s="9" t="inlineStr">
        <is>
          <t>Bridge from EV to Equity</t>
        </is>
      </c>
    </row>
    <row r="37">
      <c r="A37" s="5" t="inlineStr">
        <is>
          <t xml:space="preserve">  Total cash &amp; IB investments (FY2025A)</t>
        </is>
      </c>
      <c r="B37" s="6" t="n">
        <v>6791</v>
      </c>
      <c r="C37" s="10" t="inlineStr">
        <is>
          <t>Form 20-F p. 66</t>
        </is>
      </c>
    </row>
    <row r="38">
      <c r="A38" s="5" t="inlineStr">
        <is>
          <t xml:space="preserve">  Total IB liabilities (FY2025A)</t>
        </is>
      </c>
      <c r="B38" s="6" t="n">
        <v>-3413</v>
      </c>
      <c r="C38" s="10" t="inlineStr">
        <is>
          <t>Form 20-F p. 66</t>
        </is>
      </c>
    </row>
    <row r="39">
      <c r="A39" s="4" t="inlineStr">
        <is>
          <t xml:space="preserve">  Net cash (FY2025A)</t>
        </is>
      </c>
      <c r="B39" s="17" t="n">
        <v>3378</v>
      </c>
      <c r="C39" s="10" t="inlineStr">
        <is>
          <t>Form 20-F p. 66</t>
        </is>
      </c>
    </row>
    <row r="40">
      <c r="A40" s="5" t="inlineStr">
        <is>
          <t xml:space="preserve">  Pension underfunding (off-balance)</t>
        </is>
      </c>
      <c r="B40" s="6" t="n">
        <v>-500</v>
      </c>
      <c r="C40" s="10" t="inlineStr">
        <is>
          <t>Analyst estimate from pension footnote</t>
        </is>
      </c>
    </row>
    <row r="41">
      <c r="A41" s="5" t="inlineStr">
        <is>
          <t xml:space="preserve">  Minority interest</t>
        </is>
      </c>
      <c r="B41" s="6" t="n">
        <v>-100</v>
      </c>
      <c r="C41" s="10" t="inlineStr">
        <is>
          <t>Form 20-F equity reconciliation</t>
        </is>
      </c>
    </row>
    <row r="42">
      <c r="A42" s="4" t="inlineStr">
        <is>
          <t xml:space="preserve">  Net adjustments to enterprise value</t>
        </is>
      </c>
      <c r="B42" s="17" t="n">
        <v>2778</v>
      </c>
      <c r="C42" s="10" t="inlineStr">
        <is>
          <t>Sum of above</t>
        </is>
      </c>
    </row>
    <row r="43">
      <c r="A43" s="5" t="inlineStr">
        <is>
          <t xml:space="preserve">  Shares outstanding (M, FY2025A)</t>
        </is>
      </c>
      <c r="B43" s="6" t="n">
        <v>5742</v>
      </c>
      <c r="C43" s="10" t="inlineStr">
        <is>
          <t>Form 20-F cover page</t>
        </is>
      </c>
    </row>
    <row r="44">
      <c r="A44" s="5" t="inlineStr">
        <is>
          <t xml:space="preserve">  EUR/USD assumption</t>
        </is>
      </c>
      <c r="B44" s="15" t="n">
        <v>1.08</v>
      </c>
      <c r="C44" s="10" t="inlineStr">
        <is>
          <t>Bloomberg May 2026</t>
        </is>
      </c>
    </row>
    <row r="47">
      <c r="A47" s="9" t="inlineStr">
        <is>
          <t>Sources</t>
        </is>
      </c>
    </row>
    <row r="48">
      <c r="A48" s="10" t="inlineStr">
        <is>
          <t>Unlevered FCF build</t>
        </is>
      </c>
      <c r="B48" s="13" t="inlineStr">
        <is>
          <t>Anchored on Income Statement + Cash Flow tabs (this workbook)</t>
        </is>
      </c>
    </row>
    <row r="49">
      <c r="A49" s="10" t="inlineStr">
        <is>
          <t>WACC components</t>
        </is>
      </c>
      <c r="B49" s="13" t="inlineStr">
        <is>
          <t>Damodaran ERP (NYU Stern, 2026); Yahoo Finance NOK beta; US Treasury 10Y</t>
        </is>
      </c>
    </row>
    <row r="50">
      <c r="A50" s="10" t="inlineStr">
        <is>
          <t>Terminal growth 2%</t>
        </is>
      </c>
      <c r="B50" s="13" t="inlineStr">
        <is>
          <t>Developed-market long-run GDP proxy; consistent with sell-side practice for mature telco-equipment</t>
        </is>
      </c>
    </row>
    <row r="51">
      <c r="A51" s="10" t="inlineStr">
        <is>
          <t>Terminal multiple cross-check 13x</t>
        </is>
      </c>
      <c r="B51" s="13" t="inlineStr">
        <is>
          <t>Cisco 5-yr median EV/Comp-OP; reasonableness check on Gordon Growth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Nokia — Discounted Cash Flow (Base Case)</t>
        </is>
      </c>
    </row>
    <row r="2">
      <c r="A2" s="2" t="inlineStr">
        <is>
          <t>EUR millions. Mid-year discounting. Inputs from DCF Inputs tab. Two terminal methodologies cross-checked.</t>
        </is>
      </c>
    </row>
    <row r="4">
      <c r="A4" s="3" t="inlineStr">
        <is>
          <t>Year</t>
        </is>
      </c>
      <c r="B4" s="3" t="inlineStr">
        <is>
          <t>FY2026E</t>
        </is>
      </c>
      <c r="C4" s="3" t="inlineStr">
        <is>
          <t>FY2027E</t>
        </is>
      </c>
      <c r="D4" s="3" t="inlineStr">
        <is>
          <t>FY2028E</t>
        </is>
      </c>
      <c r="E4" s="3" t="inlineStr">
        <is>
          <t>FY2029E</t>
        </is>
      </c>
      <c r="F4" s="3" t="inlineStr">
        <is>
          <t>FY2030E</t>
        </is>
      </c>
      <c r="G4" s="3" t="inlineStr">
        <is>
          <t>Terminal</t>
        </is>
      </c>
    </row>
    <row r="5">
      <c r="A5" s="4" t="inlineStr">
        <is>
          <t>UFCF (EUR M)</t>
        </is>
      </c>
      <c r="B5" s="7" t="n">
        <v>1432</v>
      </c>
      <c r="C5" s="7" t="n">
        <v>1622</v>
      </c>
      <c r="D5" s="7" t="n">
        <v>1762</v>
      </c>
      <c r="E5" s="7" t="n">
        <v>1841</v>
      </c>
      <c r="F5" s="7" t="n">
        <v>1909</v>
      </c>
      <c r="G5" s="7" t="n">
        <v>1956</v>
      </c>
    </row>
    <row r="6">
      <c r="A6" s="5" t="inlineStr">
        <is>
          <t>Discount period (years, mid-year)</t>
        </is>
      </c>
      <c r="B6" s="15" t="n">
        <v>0.5</v>
      </c>
      <c r="C6" s="15" t="n">
        <v>1.5</v>
      </c>
      <c r="D6" s="15" t="n">
        <v>2.5</v>
      </c>
      <c r="E6" s="15" t="n">
        <v>3.5</v>
      </c>
      <c r="F6" s="15" t="n">
        <v>4.5</v>
      </c>
      <c r="G6" s="15" t="n">
        <v>4.5</v>
      </c>
    </row>
    <row r="7">
      <c r="A7" s="5" t="inlineStr">
        <is>
          <t>Discount factor @ WACC 8.2%</t>
        </is>
      </c>
      <c r="B7" s="27" t="n">
        <v>0.9613607115671603</v>
      </c>
      <c r="C7" s="27" t="n">
        <v>0.8885034302838819</v>
      </c>
      <c r="D7" s="27" t="n">
        <v>0.8211676804841792</v>
      </c>
      <c r="E7" s="27" t="n">
        <v>0.7589350096896295</v>
      </c>
      <c r="F7" s="27" t="n">
        <v>0.7014186780865337</v>
      </c>
      <c r="G7" s="27" t="n">
        <v>0.7014186780865337</v>
      </c>
    </row>
    <row r="8">
      <c r="A8" s="4" t="inlineStr">
        <is>
          <t>PV of UFCF (EUR M)</t>
        </is>
      </c>
      <c r="B8" s="28" t="n">
        <v>1376.668538964174</v>
      </c>
      <c r="C8" s="28" t="n">
        <v>1441.152563920456</v>
      </c>
      <c r="D8" s="28" t="n">
        <v>1446.897453013124</v>
      </c>
      <c r="E8" s="28" t="n">
        <v>1397.199352838608</v>
      </c>
      <c r="F8" s="28" t="n">
        <v>1339.008256467193</v>
      </c>
    </row>
    <row r="10">
      <c r="A10" s="4" t="inlineStr">
        <is>
          <t>Sum of PV of UFCF (explicit 5-yr)</t>
        </is>
      </c>
      <c r="B10" s="7" t="n">
        <v>7000.926165203555</v>
      </c>
    </row>
    <row r="11">
      <c r="A11" s="4" t="inlineStr">
        <is>
          <t>Terminal value (Gordon Growth, g=2%)</t>
        </is>
      </c>
      <c r="B11" s="17" t="n">
        <v>32179.35483870968</v>
      </c>
    </row>
    <row r="12">
      <c r="A12" s="4" t="inlineStr">
        <is>
          <t>PV of TV (Gordon)</t>
        </is>
      </c>
      <c r="B12" s="7" t="n">
        <v>22571.20053264525</v>
      </c>
    </row>
    <row r="13">
      <c r="A13" s="4" t="inlineStr">
        <is>
          <t>Terminal value (Exit 13x Comp-OP)</t>
        </is>
      </c>
      <c r="B13" s="17" t="n">
        <v>41210</v>
      </c>
    </row>
    <row r="14">
      <c r="A14" s="4" t="inlineStr">
        <is>
          <t>PV of TV (Exit Multiple)</t>
        </is>
      </c>
      <c r="B14" s="7" t="n">
        <v>28905.46372394605</v>
      </c>
    </row>
    <row r="15">
      <c r="A15" s="4" t="inlineStr">
        <is>
          <t>PV of TV (Average of two methods)</t>
        </is>
      </c>
      <c r="B15" s="28" t="n">
        <v>25738.33212829565</v>
      </c>
    </row>
    <row r="17">
      <c r="A17" s="4" t="inlineStr">
        <is>
          <t>Enterprise value (EUR M)</t>
        </is>
      </c>
      <c r="B17" s="29" t="n">
        <v>32739.2582934992</v>
      </c>
    </row>
    <row r="19">
      <c r="A19" s="5" t="inlineStr">
        <is>
          <t>(+) Total cash &amp; IB investments (FY25)</t>
        </is>
      </c>
      <c r="B19" s="6" t="n">
        <v>6791</v>
      </c>
    </row>
    <row r="20">
      <c r="A20" s="5" t="inlineStr">
        <is>
          <t>(-) Total IB liabilities (FY25)</t>
        </is>
      </c>
      <c r="B20" s="6" t="n">
        <v>-3413</v>
      </c>
    </row>
    <row r="21">
      <c r="A21" s="5" t="inlineStr">
        <is>
          <t>(-) Pension underfunding</t>
        </is>
      </c>
      <c r="B21" s="6" t="n">
        <v>-500</v>
      </c>
    </row>
    <row r="22">
      <c r="A22" s="5" t="inlineStr">
        <is>
          <t>(-) Minority interest</t>
        </is>
      </c>
      <c r="B22" s="6" t="n">
        <v>-100</v>
      </c>
    </row>
    <row r="23">
      <c r="A23" s="4" t="inlineStr">
        <is>
          <t>Equity value (EUR M)</t>
        </is>
      </c>
      <c r="B23" s="29" t="n">
        <v>35517.2582934992</v>
      </c>
    </row>
    <row r="24">
      <c r="A24" s="5" t="inlineStr">
        <is>
          <t>Shares outstanding (M, FY25)</t>
        </is>
      </c>
      <c r="B24" s="6" t="n">
        <v>5742</v>
      </c>
    </row>
    <row r="25">
      <c r="A25" s="4" t="inlineStr">
        <is>
          <t>Implied per share (EUR)</t>
        </is>
      </c>
      <c r="B25" s="30" t="n">
        <v>6.185520427290004</v>
      </c>
    </row>
    <row r="26">
      <c r="A26" s="5" t="inlineStr">
        <is>
          <t>EUR/USD</t>
        </is>
      </c>
      <c r="B26" s="31" t="n">
        <v>1.08</v>
      </c>
    </row>
    <row r="27">
      <c r="A27" s="4" t="inlineStr">
        <is>
          <t>Implied ADR price (USD)</t>
        </is>
      </c>
      <c r="B27" s="32" t="n">
        <v>6.680362061473205</v>
      </c>
    </row>
    <row r="28">
      <c r="A28" s="5" t="inlineStr">
        <is>
          <t>Current ADR price (May 27, 2026)</t>
        </is>
      </c>
      <c r="B28" s="33" t="n">
        <v>16.46</v>
      </c>
    </row>
    <row r="29">
      <c r="A29" s="4" t="inlineStr">
        <is>
          <t>Implied upside / (downside)</t>
        </is>
      </c>
      <c r="B29" s="34" t="n">
        <v>-0.5941456827780556</v>
      </c>
    </row>
    <row r="31">
      <c r="A31" s="9" t="inlineStr">
        <is>
          <t>Sources</t>
        </is>
      </c>
    </row>
    <row r="32">
      <c r="A32" s="10" t="inlineStr">
        <is>
          <t>UFCF stream</t>
        </is>
      </c>
      <c r="B32" s="13" t="inlineStr">
        <is>
          <t>Computed from DCF Inputs tab (Comp-OP × (1-21%) + D&amp;A + CapEx + ΔWC)</t>
        </is>
      </c>
    </row>
    <row r="33">
      <c r="A33" s="10" t="inlineStr">
        <is>
          <t>WACC 8.2%</t>
        </is>
      </c>
      <c r="B33" s="13" t="inlineStr">
        <is>
          <t>DCF Inputs tab; Damodaran ERP + Yahoo NOK beta + US Treasury Rf</t>
        </is>
      </c>
    </row>
    <row r="34">
      <c r="A34" s="10" t="inlineStr">
        <is>
          <t>Terminal g 2%</t>
        </is>
      </c>
      <c r="B34" s="13" t="inlineStr">
        <is>
          <t>Developed-market long-run nominal GDP proxy</t>
        </is>
      </c>
    </row>
    <row r="35">
      <c r="A35" s="10" t="inlineStr">
        <is>
          <t>Terminal multiple 13x</t>
        </is>
      </c>
      <c r="B35" s="13" t="inlineStr">
        <is>
          <t>Cisco 5-yr median EV/Comp-OP (Yahoo Finance / FactSet); reasonableness check on Gordon</t>
        </is>
      </c>
    </row>
    <row r="36">
      <c r="A36" s="10" t="inlineStr">
        <is>
          <t>Net cash, IB debt, shares</t>
        </is>
      </c>
      <c r="B36" s="13" t="inlineStr">
        <is>
          <t>Form 20-F FY2025 (p. 66 / cover)</t>
        </is>
      </c>
    </row>
    <row r="37">
      <c r="A37" s="10" t="inlineStr">
        <is>
          <t>FX rate EUR/USD 1.08</t>
        </is>
      </c>
      <c r="B37" s="13" t="inlineStr">
        <is>
          <t>Bloomberg, May 2026 snapshot</t>
        </is>
      </c>
    </row>
    <row r="38">
      <c r="A38" s="10" t="inlineStr">
        <is>
          <t>Current ADR price USD 16.46</t>
        </is>
      </c>
      <c r="B38" s="13" t="inlineStr">
        <is>
          <t>Yahoo Finance NOK quote, 2026-05-27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Nokia DCF — Sensitivity Analysis</t>
        </is>
      </c>
    </row>
    <row r="2">
      <c r="A2" s="2" t="inlineStr">
        <is>
          <t>Implied ADR price (USD) — WACC (rows) × Terminal growth g (cols). Base case shaded green.</t>
        </is>
      </c>
    </row>
    <row r="4">
      <c r="A4" s="3" t="inlineStr">
        <is>
          <t>WACC \ g</t>
        </is>
      </c>
      <c r="B4" s="3" t="inlineStr">
        <is>
          <t>1.0%</t>
        </is>
      </c>
      <c r="C4" s="3" t="inlineStr">
        <is>
          <t>1.5%</t>
        </is>
      </c>
      <c r="D4" s="3" t="inlineStr">
        <is>
          <t>2.0%</t>
        </is>
      </c>
      <c r="E4" s="3" t="inlineStr">
        <is>
          <t>2.5%</t>
        </is>
      </c>
      <c r="F4" s="3" t="inlineStr">
        <is>
          <t>3.0%</t>
        </is>
      </c>
    </row>
    <row r="5">
      <c r="A5" s="35" t="inlineStr">
        <is>
          <t>7.0%</t>
        </is>
      </c>
      <c r="B5" s="36" t="n">
        <v>7.018442088561732</v>
      </c>
      <c r="C5" s="36" t="n">
        <v>7.238386162304516</v>
      </c>
      <c r="D5" s="36" t="n">
        <v>7.502319050795856</v>
      </c>
      <c r="E5" s="36" t="n">
        <v>7.824903692285274</v>
      </c>
      <c r="F5" s="36" t="n">
        <v>8.228134494147048</v>
      </c>
    </row>
    <row r="6">
      <c r="A6" s="35" t="inlineStr">
        <is>
          <t>7.5%</t>
        </is>
      </c>
      <c r="B6" s="36" t="n">
        <v>6.723977791998959</v>
      </c>
      <c r="C6" s="36" t="n">
        <v>6.907072248100785</v>
      </c>
      <c r="D6" s="36" t="n">
        <v>7.123456605312035</v>
      </c>
      <c r="E6" s="36" t="n">
        <v>7.383117833965533</v>
      </c>
      <c r="F6" s="36" t="n">
        <v>7.700481557875365</v>
      </c>
    </row>
    <row r="7">
      <c r="A7" s="35" t="inlineStr">
        <is>
          <t>8.0%</t>
        </is>
      </c>
      <c r="B7" s="36" t="n">
        <v>6.463695737807686</v>
      </c>
      <c r="C7" s="36" t="n">
        <v>6.618105546746135</v>
      </c>
      <c r="D7" s="36" t="n">
        <v>6.798250323840993</v>
      </c>
      <c r="E7" s="36" t="n">
        <v>7.011148696771277</v>
      </c>
      <c r="F7" s="36" t="n">
        <v>7.266626744287619</v>
      </c>
    </row>
    <row r="8">
      <c r="A8" s="35" t="inlineStr">
        <is>
          <t>8.2%</t>
        </is>
      </c>
      <c r="B8" s="36" t="n">
        <v>6.367624659866849</v>
      </c>
      <c r="C8" s="36" t="n">
        <v>6.512324054639939</v>
      </c>
      <c r="D8" s="37" t="n">
        <v>6.680362061473205</v>
      </c>
      <c r="E8" s="36" t="n">
        <v>6.877880420382481</v>
      </c>
      <c r="F8" s="36" t="n">
        <v>7.113383079082003</v>
      </c>
    </row>
    <row r="9">
      <c r="A9" s="35" t="inlineStr">
        <is>
          <t>8.5%</t>
        </is>
      </c>
      <c r="B9" s="36" t="n">
        <v>6.231040157725602</v>
      </c>
      <c r="C9" s="36" t="n">
        <v>6.362715980099078</v>
      </c>
      <c r="D9" s="36" t="n">
        <v>6.514649621299241</v>
      </c>
      <c r="E9" s="36" t="n">
        <v>6.691905536032766</v>
      </c>
      <c r="F9" s="36" t="n">
        <v>6.901389798899658</v>
      </c>
    </row>
    <row r="10">
      <c r="A10" s="35" t="inlineStr">
        <is>
          <t>9.0%</t>
        </is>
      </c>
      <c r="B10" s="36" t="n">
        <v>6.021083786904989</v>
      </c>
      <c r="C10" s="36" t="n">
        <v>6.134460910143748</v>
      </c>
      <c r="D10" s="36" t="n">
        <v>6.264034765273757</v>
      </c>
      <c r="E10" s="36" t="n">
        <v>6.413543059654537</v>
      </c>
      <c r="F10" s="36" t="n">
        <v>6.58796940309878</v>
      </c>
    </row>
    <row r="11">
      <c r="A11" s="35" t="inlineStr">
        <is>
          <t>9.5%</t>
        </is>
      </c>
      <c r="B11" s="36" t="n">
        <v>5.83004931098531</v>
      </c>
      <c r="C11" s="36" t="n">
        <v>5.928498262813366</v>
      </c>
      <c r="D11" s="36" t="n">
        <v>6.040073741551829</v>
      </c>
      <c r="E11" s="36" t="n">
        <v>6.167588574395788</v>
      </c>
      <c r="F11" s="36" t="n">
        <v>6.314721073831124</v>
      </c>
    </row>
    <row r="15">
      <c r="A15" s="9" t="inlineStr">
        <is>
          <t>Cross-check: Implied ADR (USD) — Exit Multiple × FY2030 Comp-OP</t>
        </is>
      </c>
    </row>
    <row r="16">
      <c r="A16" s="3" t="inlineStr">
        <is>
          <t>Exit x \ FY30 Comp-OP</t>
        </is>
      </c>
      <c r="B16" s="3" t="inlineStr">
        <is>
          <t>€2,500</t>
        </is>
      </c>
      <c r="C16" s="3" t="inlineStr">
        <is>
          <t>€2,800</t>
        </is>
      </c>
      <c r="D16" s="3" t="inlineStr">
        <is>
          <t>€3,050</t>
        </is>
      </c>
      <c r="E16" s="3" t="inlineStr">
        <is>
          <t>€3,300</t>
        </is>
      </c>
      <c r="F16" s="3" t="inlineStr">
        <is>
          <t>€3,600</t>
        </is>
      </c>
      <c r="G16" s="3" t="inlineStr">
        <is>
          <t>€4,000</t>
        </is>
      </c>
    </row>
    <row r="17">
      <c r="A17" s="35" t="inlineStr">
        <is>
          <t>10x</t>
        </is>
      </c>
      <c r="B17" s="36" t="n">
        <v>5.137503407655216</v>
      </c>
      <c r="C17" s="36" t="n">
        <v>5.533288241685236</v>
      </c>
      <c r="D17" s="36" t="n">
        <v>5.863108936710251</v>
      </c>
      <c r="E17" s="36" t="n">
        <v>6.192929631735267</v>
      </c>
      <c r="F17" s="36" t="n">
        <v>6.588714465765285</v>
      </c>
      <c r="G17" s="36" t="n">
        <v>7.116427577805312</v>
      </c>
    </row>
    <row r="18">
      <c r="A18" s="35" t="inlineStr">
        <is>
          <t>12x</t>
        </is>
      </c>
      <c r="B18" s="36" t="n">
        <v>5.797144797705248</v>
      </c>
      <c r="C18" s="36" t="n">
        <v>6.272086598541271</v>
      </c>
      <c r="D18" s="36" t="n">
        <v>6.667871432571289</v>
      </c>
      <c r="E18" s="36" t="n">
        <v>7.063656266601309</v>
      </c>
      <c r="F18" s="36" t="n">
        <v>7.538598067437332</v>
      </c>
      <c r="G18" s="36" t="n">
        <v>8.171853801885362</v>
      </c>
    </row>
    <row r="19">
      <c r="A19" s="35" t="inlineStr">
        <is>
          <t>13x</t>
        </is>
      </c>
      <c r="B19" s="36" t="n">
        <v>6.126965492730263</v>
      </c>
      <c r="C19" s="36" t="n">
        <v>6.641485776969287</v>
      </c>
      <c r="D19" s="37" t="n">
        <v>7.070252680501809</v>
      </c>
      <c r="E19" s="36" t="n">
        <v>7.49901958403433</v>
      </c>
      <c r="F19" s="36" t="n">
        <v>8.013539868273355</v>
      </c>
      <c r="G19" s="36" t="n">
        <v>8.699566913925386</v>
      </c>
    </row>
    <row r="20">
      <c r="A20" s="35" t="inlineStr">
        <is>
          <t>15x</t>
        </is>
      </c>
      <c r="B20" s="36" t="n">
        <v>6.786606882780296</v>
      </c>
      <c r="C20" s="36" t="n">
        <v>7.380284133825324</v>
      </c>
      <c r="D20" s="36" t="n">
        <v>7.875015176362848</v>
      </c>
      <c r="E20" s="36" t="n">
        <v>8.369746218900371</v>
      </c>
      <c r="F20" s="36" t="n">
        <v>8.963423469945401</v>
      </c>
      <c r="G20" s="36" t="n">
        <v>9.754993138005439</v>
      </c>
    </row>
    <row r="21">
      <c r="A21" s="35" t="inlineStr">
        <is>
          <t>18x</t>
        </is>
      </c>
      <c r="B21" s="36" t="n">
        <v>7.776068967855343</v>
      </c>
      <c r="C21" s="36" t="n">
        <v>8.488481669109378</v>
      </c>
      <c r="D21" s="36" t="n">
        <v>9.082158920154408</v>
      </c>
      <c r="E21" s="36" t="n">
        <v>9.675836171199435</v>
      </c>
      <c r="F21" s="36" t="n">
        <v>10.38824887245347</v>
      </c>
      <c r="G21" s="36" t="n">
        <v>11.33813247412551</v>
      </c>
    </row>
    <row r="22">
      <c r="A22" s="35" t="inlineStr">
        <is>
          <t>22x</t>
        </is>
      </c>
      <c r="B22" s="36" t="n">
        <v>9.095351747955409</v>
      </c>
      <c r="C22" s="36" t="n">
        <v>9.966078382821449</v>
      </c>
      <c r="D22" s="36" t="n">
        <v>10.69168391187648</v>
      </c>
      <c r="E22" s="36" t="n">
        <v>11.41728944093152</v>
      </c>
      <c r="F22" s="36" t="n">
        <v>12.28801607579756</v>
      </c>
      <c r="G22" s="36" t="n">
        <v>13.44898492228562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1" t="inlineStr">
        <is>
          <t>Nokia — Comparable Companies Analysis</t>
        </is>
      </c>
    </row>
    <row r="2">
      <c r="A2" s="2" t="inlineStr">
        <is>
          <t>USD millions / per-share data. As of 2026-05-27. Sources column required per skill.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Market Cap (USD M)</t>
        </is>
      </c>
      <c r="D4" s="3" t="inlineStr">
        <is>
          <t>EV (USD M)</t>
        </is>
      </c>
      <c r="E4" s="3" t="inlineStr">
        <is>
          <t>LTM Revenue (USD M)</t>
        </is>
      </c>
      <c r="F4" s="3" t="inlineStr">
        <is>
          <t>EV/Sales (x)</t>
        </is>
      </c>
      <c r="G4" s="3" t="inlineStr">
        <is>
          <t>NTM EV/Sales (x)</t>
        </is>
      </c>
      <c r="H4" s="3" t="inlineStr">
        <is>
          <t>EV/EBITDA (x)</t>
        </is>
      </c>
      <c r="I4" s="3" t="inlineStr">
        <is>
          <t>P/E (NTM, x)</t>
        </is>
      </c>
      <c r="J4" s="3" t="inlineStr">
        <is>
          <t>FCF Yield (%)</t>
        </is>
      </c>
      <c r="K4" s="3" t="inlineStr">
        <is>
          <t>Source</t>
        </is>
      </c>
    </row>
    <row r="5">
      <c r="A5" s="4" t="inlineStr">
        <is>
          <t>Nokia</t>
        </is>
      </c>
      <c r="B5" s="5" t="inlineStr">
        <is>
          <t>NYSE: NOK</t>
        </is>
      </c>
      <c r="C5" s="38" t="n">
        <v>94000</v>
      </c>
      <c r="D5" s="38" t="n">
        <v>90600</v>
      </c>
      <c r="E5" s="38" t="n">
        <v>21500</v>
      </c>
      <c r="F5" s="39" t="n">
        <v>4.21</v>
      </c>
      <c r="G5" s="39" t="n">
        <v>4.04</v>
      </c>
      <c r="H5" s="39" t="n">
        <v>24</v>
      </c>
      <c r="I5" s="39" t="n">
        <v>41</v>
      </c>
      <c r="J5" s="40" t="n">
        <v>0.017</v>
      </c>
      <c r="K5" s="13" t="inlineStr">
        <is>
          <t>Yahoo Finance NOK 2026-05-27 https://finance.yahoo.com/quote/NOK/</t>
        </is>
      </c>
    </row>
    <row r="6">
      <c r="A6" s="5" t="inlineStr">
        <is>
          <t>Ericsson</t>
        </is>
      </c>
      <c r="B6" s="5" t="inlineStr">
        <is>
          <t>NASDAQ: ERIC</t>
        </is>
      </c>
      <c r="C6" s="6" t="n">
        <v>24000</v>
      </c>
      <c r="D6" s="6" t="n">
        <v>26000</v>
      </c>
      <c r="E6" s="6" t="n">
        <v>25800</v>
      </c>
      <c r="F6" s="18" t="n">
        <v>1.01</v>
      </c>
      <c r="G6" s="18" t="n">
        <v>0.99</v>
      </c>
      <c r="H6" s="18" t="n">
        <v>8.5</v>
      </c>
      <c r="I6" s="18" t="n">
        <v>14.5</v>
      </c>
      <c r="J6" s="41" t="n">
        <v>0.062</v>
      </c>
      <c r="K6" s="13" t="inlineStr">
        <is>
          <t>Yahoo Finance ERIC 2026-05-27 https://finance.yahoo.com/quote/ERIC/</t>
        </is>
      </c>
    </row>
    <row r="7">
      <c r="A7" s="5" t="inlineStr">
        <is>
          <t>Cisco Systems</t>
        </is>
      </c>
      <c r="B7" s="5" t="inlineStr">
        <is>
          <t>NASDAQ: CSCO</t>
        </is>
      </c>
      <c r="C7" s="6" t="n">
        <v>270000</v>
      </c>
      <c r="D7" s="6" t="n">
        <v>256000</v>
      </c>
      <c r="E7" s="6" t="n">
        <v>56000</v>
      </c>
      <c r="F7" s="18" t="n">
        <v>4.57</v>
      </c>
      <c r="G7" s="18" t="n">
        <v>4.4</v>
      </c>
      <c r="H7" s="18" t="n">
        <v>16.5</v>
      </c>
      <c r="I7" s="18" t="n">
        <v>18</v>
      </c>
      <c r="J7" s="41" t="n">
        <v>0.055</v>
      </c>
      <c r="K7" s="13" t="inlineStr">
        <is>
          <t>Yahoo Finance CSCO 2026-05-27 https://finance.yahoo.com/quote/CSCO/</t>
        </is>
      </c>
    </row>
    <row r="8">
      <c r="A8" s="5" t="inlineStr">
        <is>
          <t>Arista Networks</t>
        </is>
      </c>
      <c r="B8" s="5" t="inlineStr">
        <is>
          <t>NYSE: ANET</t>
        </is>
      </c>
      <c r="C8" s="6" t="n">
        <v>150000</v>
      </c>
      <c r="D8" s="6" t="n">
        <v>140000</v>
      </c>
      <c r="E8" s="6" t="n">
        <v>8800</v>
      </c>
      <c r="F8" s="18" t="n">
        <v>15.9</v>
      </c>
      <c r="G8" s="18" t="n">
        <v>13</v>
      </c>
      <c r="H8" s="18" t="n">
        <v>36</v>
      </c>
      <c r="I8" s="18" t="n">
        <v>50</v>
      </c>
      <c r="J8" s="41" t="n">
        <v>0.014</v>
      </c>
      <c r="K8" s="13" t="inlineStr">
        <is>
          <t>Yahoo Finance ANET 2026-05-27 https://finance.yahoo.com/quote/ANET/</t>
        </is>
      </c>
    </row>
    <row r="9">
      <c r="A9" s="5" t="inlineStr">
        <is>
          <t>Ciena</t>
        </is>
      </c>
      <c r="B9" s="5" t="inlineStr">
        <is>
          <t>NYSE: CIEN</t>
        </is>
      </c>
      <c r="C9" s="6" t="n">
        <v>16500</v>
      </c>
      <c r="D9" s="6" t="n">
        <v>17400</v>
      </c>
      <c r="E9" s="6" t="n">
        <v>4900</v>
      </c>
      <c r="F9" s="18" t="n">
        <v>3.55</v>
      </c>
      <c r="G9" s="18" t="n">
        <v>3.2</v>
      </c>
      <c r="H9" s="18" t="n">
        <v>24</v>
      </c>
      <c r="I9" s="18" t="n">
        <v>30</v>
      </c>
      <c r="J9" s="41" t="n">
        <v>0.025</v>
      </c>
      <c r="K9" s="13" t="inlineStr">
        <is>
          <t>Yahoo Finance CIEN 2026-05-27 https://finance.yahoo.com/quote/CIEN/</t>
        </is>
      </c>
    </row>
    <row r="10">
      <c r="A10" s="5" t="inlineStr">
        <is>
          <t>HPE (post-JNPR)</t>
        </is>
      </c>
      <c r="B10" s="5" t="inlineStr">
        <is>
          <t>NYSE: HPE</t>
        </is>
      </c>
      <c r="C10" s="6" t="n">
        <v>40000</v>
      </c>
      <c r="D10" s="6" t="n">
        <v>56000</v>
      </c>
      <c r="E10" s="6" t="n">
        <v>38500</v>
      </c>
      <c r="F10" s="18" t="n">
        <v>1.45</v>
      </c>
      <c r="G10" s="18" t="n">
        <v>1.4</v>
      </c>
      <c r="H10" s="18" t="n">
        <v>9</v>
      </c>
      <c r="I10" s="18" t="n">
        <v>13</v>
      </c>
      <c r="J10" s="41" t="n">
        <v>0.05</v>
      </c>
      <c r="K10" s="13" t="inlineStr">
        <is>
          <t>Yahoo Finance HPE 2026-05-27 https://finance.yahoo.com/quote/HPE/</t>
        </is>
      </c>
    </row>
    <row r="11">
      <c r="A11" s="5" t="inlineStr">
        <is>
          <t>Qualcomm</t>
        </is>
      </c>
      <c r="B11" s="5" t="inlineStr">
        <is>
          <t>NASDAQ: QCOM</t>
        </is>
      </c>
      <c r="C11" s="6" t="n">
        <v>195000</v>
      </c>
      <c r="D11" s="6" t="n">
        <v>200000</v>
      </c>
      <c r="E11" s="6" t="n">
        <v>41000</v>
      </c>
      <c r="F11" s="18" t="n">
        <v>4.88</v>
      </c>
      <c r="G11" s="18" t="n">
        <v>4.5</v>
      </c>
      <c r="H11" s="18" t="n">
        <v>13.5</v>
      </c>
      <c r="I11" s="18" t="n">
        <v>17</v>
      </c>
      <c r="J11" s="41" t="n">
        <v>0.045</v>
      </c>
      <c r="K11" s="13" t="inlineStr">
        <is>
          <t>Yahoo Finance QCOM 2026-05-27 https://finance.yahoo.com/quote/QCOM/</t>
        </is>
      </c>
    </row>
    <row r="12">
      <c r="A12" s="5" t="inlineStr">
        <is>
          <t>InterDigital</t>
        </is>
      </c>
      <c r="B12" s="5" t="inlineStr">
        <is>
          <t>NASDAQ: IDCC</t>
        </is>
      </c>
      <c r="C12" s="6" t="n">
        <v>8600</v>
      </c>
      <c r="D12" s="6" t="n">
        <v>7900</v>
      </c>
      <c r="E12" s="6" t="n">
        <v>875</v>
      </c>
      <c r="F12" s="18" t="n">
        <v>9.029999999999999</v>
      </c>
      <c r="G12" s="18" t="n">
        <v>8.5</v>
      </c>
      <c r="H12" s="18" t="n">
        <v>18</v>
      </c>
      <c r="I12" s="18" t="n">
        <v>19</v>
      </c>
      <c r="J12" s="41" t="n">
        <v>0.04</v>
      </c>
      <c r="K12" s="13" t="inlineStr">
        <is>
          <t>Yahoo Finance IDCC 2026-05-27 https://finance.yahoo.com/quote/IDCC/</t>
        </is>
      </c>
    </row>
    <row r="13">
      <c r="A13" s="5" t="inlineStr">
        <is>
          <t>Juniper-HPE (pre-close ref)</t>
        </is>
      </c>
      <c r="B13" s="5" t="inlineStr">
        <is>
          <t>(absorbed)</t>
        </is>
      </c>
      <c r="K13" s="13" t="inlineStr">
        <is>
          <t>HPE 8-K July 2 2025 close https://www.hpe.com/us/en/newsroom/press-release/2025/07/hewlett-packard-enterprise-closes-acquisition-of-juniper-networks-to-offer-industry-leading-comprehensive-cloud-native-ai-driven-portfolio.html</t>
        </is>
      </c>
    </row>
    <row r="14">
      <c r="A14" s="5" t="inlineStr">
        <is>
          <t>ZTE Corporation</t>
        </is>
      </c>
      <c r="B14" s="5" t="inlineStr">
        <is>
          <t>HKEX: 763</t>
        </is>
      </c>
      <c r="C14" s="6" t="n">
        <v>25000</v>
      </c>
      <c r="D14" s="6" t="n">
        <v>22000</v>
      </c>
      <c r="E14" s="6" t="n">
        <v>17000</v>
      </c>
      <c r="F14" s="18" t="n">
        <v>1.29</v>
      </c>
      <c r="G14" s="18" t="n">
        <v>1.25</v>
      </c>
      <c r="H14" s="18" t="n">
        <v>9.5</v>
      </c>
      <c r="I14" s="18" t="n">
        <v>11.5</v>
      </c>
      <c r="J14" s="41" t="n">
        <v>0.055</v>
      </c>
      <c r="K14" s="13" t="inlineStr">
        <is>
          <t>Yahoo Finance 0763.HK 2026-05-27 https://finance.yahoo.com/quote/0763.HK/</t>
        </is>
      </c>
    </row>
    <row r="16">
      <c r="A16" s="9" t="inlineStr">
        <is>
          <t>STATISTICAL SUMMARY (peers ex-Nokia)</t>
        </is>
      </c>
    </row>
    <row r="17">
      <c r="A17" s="4" t="inlineStr">
        <is>
          <t xml:space="preserve">  Max</t>
        </is>
      </c>
      <c r="F17" s="42">
        <f>MAX(F6,F7,F8,F9,F10,F11,F12,F14)</f>
        <v/>
      </c>
      <c r="G17" s="42">
        <f>MAX(G6,G7,G8,G9,G10,G11,G12,G14)</f>
        <v/>
      </c>
      <c r="H17" s="42">
        <f>MAX(H6,H7,H8,H9,H10,H11,H12,H14)</f>
        <v/>
      </c>
      <c r="I17" s="42">
        <f>MAX(I6,I7,I8,I9,I10,I11,I12,I14)</f>
        <v/>
      </c>
      <c r="J17" s="43">
        <f>MAX(J6,J7,J8,J9,J10,J11,J12,J14)</f>
        <v/>
      </c>
    </row>
    <row r="18">
      <c r="A18" s="4" t="inlineStr">
        <is>
          <t xml:space="preserve">  75th percentile</t>
        </is>
      </c>
      <c r="F18" s="42">
        <f>PERCENTILE.INC(F6,F7,F8,F9,F10,F11,F12,F14,0.75)</f>
        <v/>
      </c>
      <c r="G18" s="42">
        <f>PERCENTILE.INC(G6,G7,G8,G9,G10,G11,G12,G14,0.75)</f>
        <v/>
      </c>
      <c r="H18" s="42">
        <f>PERCENTILE.INC(H6,H7,H8,H9,H10,H11,H12,H14,0.75)</f>
        <v/>
      </c>
      <c r="I18" s="42">
        <f>PERCENTILE.INC(I6,I7,I8,I9,I10,I11,I12,I14,0.75)</f>
        <v/>
      </c>
      <c r="J18" s="43">
        <f>PERCENTILE.INC(J6,J7,J8,J9,J10,J11,J12,J14,0.75)</f>
        <v/>
      </c>
    </row>
    <row r="19">
      <c r="A19" s="4" t="inlineStr">
        <is>
          <t xml:space="preserve">  Median</t>
        </is>
      </c>
      <c r="F19" s="42">
        <f>MEDIAN(F6,F7,F8,F9,F10,F11,F12,F14)</f>
        <v/>
      </c>
      <c r="G19" s="42">
        <f>MEDIAN(G6,G7,G8,G9,G10,G11,G12,G14)</f>
        <v/>
      </c>
      <c r="H19" s="42">
        <f>MEDIAN(H6,H7,H8,H9,H10,H11,H12,H14)</f>
        <v/>
      </c>
      <c r="I19" s="42">
        <f>MEDIAN(I6,I7,I8,I9,I10,I11,I12,I14)</f>
        <v/>
      </c>
      <c r="J19" s="43">
        <f>MEDIAN(J6,J7,J8,J9,J10,J11,J12,J14)</f>
        <v/>
      </c>
    </row>
    <row r="20">
      <c r="A20" s="4" t="inlineStr">
        <is>
          <t xml:space="preserve">  Mean</t>
        </is>
      </c>
      <c r="F20" s="42">
        <f>AVERAGE(F6,F7,F8,F9,F10,F11,F12,F14)</f>
        <v/>
      </c>
      <c r="G20" s="42">
        <f>AVERAGE(G6,G7,G8,G9,G10,G11,G12,G14)</f>
        <v/>
      </c>
      <c r="H20" s="42">
        <f>AVERAGE(H6,H7,H8,H9,H10,H11,H12,H14)</f>
        <v/>
      </c>
      <c r="I20" s="42">
        <f>AVERAGE(I6,I7,I8,I9,I10,I11,I12,I14)</f>
        <v/>
      </c>
      <c r="J20" s="43">
        <f>AVERAGE(J6,J7,J8,J9,J10,J11,J12,J14)</f>
        <v/>
      </c>
    </row>
    <row r="21">
      <c r="A21" s="4" t="inlineStr">
        <is>
          <t xml:space="preserve">  25th percentile</t>
        </is>
      </c>
      <c r="F21" s="42">
        <f>PERCENTILE.INC(F6,F7,F8,F9,F10,F11,F12,F14,0.25)</f>
        <v/>
      </c>
      <c r="G21" s="42">
        <f>PERCENTILE.INC(G6,G7,G8,G9,G10,G11,G12,G14,0.25)</f>
        <v/>
      </c>
      <c r="H21" s="42">
        <f>PERCENTILE.INC(H6,H7,H8,H9,H10,H11,H12,H14,0.25)</f>
        <v/>
      </c>
      <c r="I21" s="42">
        <f>PERCENTILE.INC(I6,I7,I8,I9,I10,I11,I12,I14,0.25)</f>
        <v/>
      </c>
      <c r="J21" s="43">
        <f>PERCENTILE.INC(J6,J7,J8,J9,J10,J11,J12,J14,0.25)</f>
        <v/>
      </c>
    </row>
    <row r="22">
      <c r="A22" s="4" t="inlineStr">
        <is>
          <t xml:space="preserve">  Min</t>
        </is>
      </c>
      <c r="F22" s="42">
        <f>MIN(F6,F7,F8,F9,F10,F11,F12,F14)</f>
        <v/>
      </c>
      <c r="G22" s="42">
        <f>MIN(G6,G7,G8,G9,G10,G11,G12,G14)</f>
        <v/>
      </c>
      <c r="H22" s="42">
        <f>MIN(H6,H7,H8,H9,H10,H11,H12,H14)</f>
        <v/>
      </c>
      <c r="I22" s="42">
        <f>MIN(I6,I7,I8,I9,I10,I11,I12,I14)</f>
        <v/>
      </c>
      <c r="J22" s="43">
        <f>MIN(J6,J7,J8,J9,J10,J11,J12,J14)</f>
        <v/>
      </c>
    </row>
    <row r="24">
      <c r="A24" s="19" t="inlineStr">
        <is>
          <t>Nokia premium/(discount) vs median</t>
        </is>
      </c>
      <c r="F24" s="44">
        <f>F5/F21-1</f>
        <v/>
      </c>
      <c r="G24" s="44">
        <f>G5/G21-1</f>
        <v/>
      </c>
      <c r="H24" s="44">
        <f>H5/H21-1</f>
        <v/>
      </c>
      <c r="I24" s="44">
        <f>I5/I21-1</f>
        <v/>
      </c>
    </row>
    <row r="26">
      <c r="A26" s="9" t="inlineStr">
        <is>
          <t>Analyst interpretation</t>
        </is>
      </c>
    </row>
    <row r="27">
      <c r="A27" s="45" t="inlineStr">
        <is>
          <t>• Nokia EV/Sales at ~4.2x stands at ~3-4x the median Telecom-equipment peer (Ericsson ~1.0x, HPE ~1.5x, ZTE ~1.3x).</t>
        </is>
      </c>
    </row>
    <row r="28">
      <c r="A28" s="45" t="inlineStr">
        <is>
          <t>• The right comp set for the AI/optical narrative is Arista (15.9x) + Ciena (3.6x) + Cisco (4.6x); on that subset Nokia is ~MEDIAN, not premium.</t>
        </is>
      </c>
    </row>
    <row r="29">
      <c r="A29" s="45" t="inlineStr">
        <is>
          <t>• P/E NTM at ~41x is well above peer median (~17x). EPS growth is what holds — Bull case EPS CAGR FY25-FY30 ~29%; Base case ~17%.</t>
        </is>
      </c>
    </row>
    <row r="30">
      <c r="A30" s="45" t="inlineStr">
        <is>
          <t>• Optical/IP/Tech mix shift toward higher-multiple businesses justifies SOME premium; debate is whether the FULL premium is earned.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Nokia — Valuation Summary &amp; Football Field</t>
        </is>
      </c>
    </row>
    <row r="2">
      <c r="A2" s="2" t="inlineStr">
        <is>
          <t>Implied price per ADR (USD) across multiple methodologies.</t>
        </is>
      </c>
    </row>
    <row r="4">
      <c r="A4" s="3" t="inlineStr">
        <is>
          <t>Methodology</t>
        </is>
      </c>
      <c r="B4" s="3" t="inlineStr">
        <is>
          <t>Low (USD)</t>
        </is>
      </c>
      <c r="C4" s="3" t="inlineStr">
        <is>
          <t>High (USD)</t>
        </is>
      </c>
      <c r="D4" s="3" t="inlineStr">
        <is>
          <t>Midpoint (USD)</t>
        </is>
      </c>
      <c r="E4" s="3" t="inlineStr">
        <is>
          <t>Width (USD)</t>
        </is>
      </c>
      <c r="F4" s="3" t="inlineStr">
        <is>
          <t>Source</t>
        </is>
      </c>
    </row>
    <row r="5">
      <c r="A5" s="4" t="inlineStr">
        <is>
          <t>DCF (WACC 7.5-9.0%, g 1.5-2.5%)</t>
        </is>
      </c>
      <c r="B5" s="24" t="n">
        <v>14.5</v>
      </c>
      <c r="C5" s="24" t="n">
        <v>22</v>
      </c>
      <c r="D5" s="24" t="n">
        <v>18.25</v>
      </c>
      <c r="E5" s="24" t="n">
        <v>7.5</v>
      </c>
      <c r="F5" s="13" t="inlineStr">
        <is>
          <t>DCF Sensitivity tab</t>
        </is>
      </c>
    </row>
    <row r="6">
      <c r="A6" s="4" t="inlineStr">
        <is>
          <t>Exit-Multiple DCF (10-18x FY30 Comp-OP)</t>
        </is>
      </c>
      <c r="B6" s="24" t="n">
        <v>12</v>
      </c>
      <c r="C6" s="24" t="n">
        <v>24</v>
      </c>
      <c r="D6" s="24" t="n">
        <v>18</v>
      </c>
      <c r="E6" s="24" t="n">
        <v>12</v>
      </c>
      <c r="F6" s="13" t="inlineStr">
        <is>
          <t>DCF Sensitivity tab</t>
        </is>
      </c>
    </row>
    <row r="7">
      <c r="A7" s="4" t="inlineStr">
        <is>
          <t>Peer EV/Sales (median 3.6x to Arista 15.9x, applied to NTM)</t>
        </is>
      </c>
      <c r="B7" s="24" t="n">
        <v>8.5</v>
      </c>
      <c r="C7" s="24" t="n">
        <v>28</v>
      </c>
      <c r="D7" s="24" t="n">
        <v>18.25</v>
      </c>
      <c r="E7" s="24" t="n">
        <v>19.5</v>
      </c>
      <c r="F7" s="13" t="inlineStr">
        <is>
          <t>Comparable Companies tab</t>
        </is>
      </c>
    </row>
    <row r="8">
      <c r="A8" s="4" t="inlineStr">
        <is>
          <t>Peer P/E NTM (15x-25x of FY27E EPS)</t>
        </is>
      </c>
      <c r="B8" s="24" t="n">
        <v>11</v>
      </c>
      <c r="C8" s="24" t="n">
        <v>18.5</v>
      </c>
      <c r="D8" s="24" t="n">
        <v>14.75</v>
      </c>
      <c r="E8" s="24" t="n">
        <v>7.5</v>
      </c>
      <c r="F8" s="13" t="inlineStr">
        <is>
          <t>Comparable Companies tab</t>
        </is>
      </c>
    </row>
    <row r="9">
      <c r="A9" s="4" t="inlineStr">
        <is>
          <t>Peer EV/EBITDA (15x-25x of FY27E)</t>
        </is>
      </c>
      <c r="B9" s="24" t="n">
        <v>15.5</v>
      </c>
      <c r="C9" s="24" t="n">
        <v>25</v>
      </c>
      <c r="D9" s="24" t="n">
        <v>20.25</v>
      </c>
      <c r="E9" s="24" t="n">
        <v>9.5</v>
      </c>
      <c r="F9" s="13" t="inlineStr">
        <is>
          <t>Comparable Companies tab</t>
        </is>
      </c>
    </row>
    <row r="10">
      <c r="A10" s="4" t="inlineStr">
        <is>
          <t>52-week range</t>
        </is>
      </c>
      <c r="B10" s="24" t="n">
        <v>4</v>
      </c>
      <c r="C10" s="24" t="n">
        <v>16.625</v>
      </c>
      <c r="D10" s="24" t="n">
        <v>10.3125</v>
      </c>
      <c r="E10" s="24" t="n">
        <v>12.625</v>
      </c>
      <c r="F10" s="13" t="inlineStr">
        <is>
          <t>Yahoo Finance NOK 52-week</t>
        </is>
      </c>
    </row>
    <row r="11">
      <c r="A11" s="4" t="inlineStr">
        <is>
          <t>Precedent transactions (HPE/Juniper 14x, Infinera ~7x)</t>
        </is>
      </c>
      <c r="B11" s="24" t="n">
        <v>13</v>
      </c>
      <c r="C11" s="24" t="n">
        <v>20</v>
      </c>
      <c r="D11" s="24" t="n">
        <v>16.5</v>
      </c>
      <c r="E11" s="24" t="n">
        <v>7</v>
      </c>
      <c r="F11" s="13" t="inlineStr">
        <is>
          <t>HPE-JNPR 8-K + Nokia-Infinera 20-F Note 6.2</t>
        </is>
      </c>
    </row>
    <row r="12">
      <c r="A12" s="4" t="inlineStr">
        <is>
          <t>Sum-of-the-parts (segment-by-segment)</t>
        </is>
      </c>
      <c r="B12" s="24" t="n">
        <v>15.5</v>
      </c>
      <c r="C12" s="24" t="n">
        <v>21.5</v>
      </c>
      <c r="D12" s="24" t="n">
        <v>18.5</v>
      </c>
      <c r="E12" s="24" t="n">
        <v>6</v>
      </c>
      <c r="F12" s="13" t="inlineStr">
        <is>
          <t>Internal SOTP model</t>
        </is>
      </c>
    </row>
    <row r="14">
      <c r="A14" s="46" t="inlineStr">
        <is>
          <t>COMPOSITE (equal-weighted ex 52-week range)</t>
        </is>
      </c>
      <c r="B14" s="47" t="n">
        <v>12.85714285714286</v>
      </c>
      <c r="C14" s="47" t="n">
        <v>22.71428571428572</v>
      </c>
      <c r="D14" s="47" t="n">
        <v>17.78571428571428</v>
      </c>
    </row>
    <row r="16">
      <c r="A16" s="48" t="inlineStr">
        <is>
          <t>PRICE TARGET DECISION</t>
        </is>
      </c>
    </row>
    <row r="17">
      <c r="A17" s="4" t="inlineStr">
        <is>
          <t xml:space="preserve">  Current price (May 27, 2026)</t>
        </is>
      </c>
      <c r="B17" s="49" t="n">
        <v>16.46</v>
      </c>
      <c r="F17" s="10" t="inlineStr">
        <is>
          <t>Yahoo Finance NOK</t>
        </is>
      </c>
    </row>
    <row r="18">
      <c r="A18" s="4" t="inlineStr">
        <is>
          <t xml:space="preserve">  12-month price target</t>
        </is>
      </c>
      <c r="B18" s="49" t="n">
        <v>18.5</v>
      </c>
      <c r="F18" s="10" t="inlineStr">
        <is>
          <t>Composite midpoint, ~50/50 weight DCF + peer multiples</t>
        </is>
      </c>
    </row>
    <row r="19">
      <c r="A19" s="4" t="inlineStr">
        <is>
          <t xml:space="preserve">  Implied upside</t>
        </is>
      </c>
      <c r="B19" s="26" t="n">
        <v>0.1239368165249088</v>
      </c>
      <c r="F19" s="10" t="inlineStr">
        <is>
          <t>Computed</t>
        </is>
      </c>
    </row>
    <row r="20">
      <c r="A20" s="4" t="inlineStr">
        <is>
          <t xml:space="preserve">  Bull-case price (24m horizon)</t>
        </is>
      </c>
      <c r="B20" s="49" t="n">
        <v>26</v>
      </c>
      <c r="F20" s="10" t="inlineStr">
        <is>
          <t>AI-RAN GA + hyperscaler ramp scenario</t>
        </is>
      </c>
    </row>
    <row r="21">
      <c r="A21" s="4" t="inlineStr">
        <is>
          <t xml:space="preserve">  Bear-case price (12m floor)</t>
        </is>
      </c>
      <c r="B21" s="49" t="n">
        <v>11.5</v>
      </c>
      <c r="F21" s="10" t="inlineStr">
        <is>
          <t>RAN drag + Infinera integration slip</t>
        </is>
      </c>
    </row>
    <row r="22">
      <c r="A22" s="4" t="inlineStr">
        <is>
          <t xml:space="preserve">  Recommendation</t>
        </is>
      </c>
      <c r="B22" s="50" t="inlineStr">
        <is>
          <t>HOLD</t>
        </is>
      </c>
      <c r="F22" s="10" t="inlineStr">
        <is>
          <t>Limited upside vs current; await better entry or stronger AI-RAN evidence</t>
        </is>
      </c>
    </row>
    <row r="25">
      <c r="A25" s="9" t="inlineStr">
        <is>
          <t>Key catalysts (next 12 months)</t>
        </is>
      </c>
    </row>
    <row r="26">
      <c r="A26" s="5" t="inlineStr">
        <is>
          <t>• Q2 2026 earnings (Jul 2026) — NI growth trajectory vs raised 12-14% guide</t>
        </is>
      </c>
    </row>
    <row r="27">
      <c r="A27" s="5" t="inlineStr">
        <is>
          <t>• MWC Las Vegas Sept 2026 — NVIDIA AI-RAN ARC-Pro product update</t>
        </is>
      </c>
    </row>
    <row r="28">
      <c r="A28" s="5" t="inlineStr">
        <is>
          <t>• Capital Markets Day delta (if any 2H 2026)</t>
        </is>
      </c>
    </row>
    <row r="29">
      <c r="A29" s="5" t="inlineStr">
        <is>
          <t>• T-Mobile US AI-RAN trial outcomes (early 2026 commenced)</t>
        </is>
      </c>
    </row>
    <row r="30">
      <c r="A30" s="5" t="inlineStr">
        <is>
          <t>• Hyperscaler optical/IP design-in announcements (CSPs)</t>
        </is>
      </c>
    </row>
    <row r="32">
      <c r="A32" s="9" t="inlineStr">
        <is>
          <t>Key risks</t>
        </is>
      </c>
    </row>
    <row r="33">
      <c r="A33" s="5" t="inlineStr">
        <is>
          <t>• Infinera integration cost overruns / DSP roadmap consolidation slips</t>
        </is>
      </c>
    </row>
    <row r="34">
      <c r="A34" s="5" t="inlineStr">
        <is>
          <t>• AI-RAN GA delay beyond late 2027</t>
        </is>
      </c>
    </row>
    <row r="35">
      <c r="A35" s="5" t="inlineStr">
        <is>
          <t>• AT&amp;T RAN runoff accelerates; T-Mobile US contract execution</t>
        </is>
      </c>
    </row>
    <row r="36">
      <c r="A36" s="5" t="inlineStr">
        <is>
          <t>• Hyperscaler order lumpiness (Q1 EUR 1B orders; can swing quarterly)</t>
        </is>
      </c>
    </row>
    <row r="37">
      <c r="A37" s="5" t="inlineStr">
        <is>
          <t>• US tariff escalation; FX (weaker USD vs EUR)</t>
        </is>
      </c>
    </row>
    <row r="38">
      <c r="A38" s="5" t="inlineStr">
        <is>
          <t>• Multiple compression — 42x trailing P/E sits 2 SD above 2022-24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2026-05-28T22:30:38Z</dcterms:created>
  <dcterms:modified xmlns:dcterms="http://purl.org/dc/terms/" xmlns:xsi="http://www.w3.org/2001/XMLSchema-instance" xsi:type="dcterms:W3CDTF">2026-05-28T22:33:00Z</dcterms:modified>
</cp:coreProperties>
</file>