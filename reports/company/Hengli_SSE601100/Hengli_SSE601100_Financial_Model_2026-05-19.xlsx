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CF Inp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;—"/>
    <numFmt numFmtId="165" formatCode="0.0%;(0.0%);—"/>
  </numFmts>
  <fonts count="12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1F4E79"/>
      <sz val="14"/>
    </font>
    <font>
      <b val="1"/>
      <color rgb="00FFFFFF"/>
    </font>
    <font>
      <color rgb="000070C0"/>
    </font>
    <font>
      <i val="1"/>
      <color rgb="00595959"/>
    </font>
    <font>
      <color rgb="00000000"/>
    </font>
    <font>
      <b val="1"/>
      <color rgb="00000000"/>
    </font>
    <font>
      <color rgb="0000B050"/>
    </font>
    <font>
      <b val="1"/>
      <color rgb="000070C0"/>
    </font>
    <font>
      <b val="1"/>
      <color rgb="001F4E7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164" fontId="5" fillId="0" borderId="0" pivotButton="0" quotePrefix="0" xfId="0"/>
    <xf numFmtId="164" fontId="5" fillId="4" borderId="0" pivotButton="0" quotePrefix="0" xfId="0"/>
    <xf numFmtId="0" fontId="6" fillId="0" borderId="0" pivotButton="0" quotePrefix="0" xfId="0"/>
    <xf numFmtId="165" fontId="7" fillId="0" borderId="0" pivotButton="0" quotePrefix="0" xfId="0"/>
    <xf numFmtId="164" fontId="7" fillId="0" borderId="0" pivotButton="0" quotePrefix="0" xfId="0"/>
    <xf numFmtId="0" fontId="2" fillId="5" borderId="0" pivotButton="0" quotePrefix="0" xfId="0"/>
    <xf numFmtId="164" fontId="8" fillId="5" borderId="1" pivotButton="0" quotePrefix="0" xfId="0"/>
    <xf numFmtId="164" fontId="2" fillId="5" borderId="1" pivotButton="0" quotePrefix="0" xfId="0"/>
    <xf numFmtId="164" fontId="9" fillId="0" borderId="0" pivotButton="0" quotePrefix="0" xfId="0"/>
    <xf numFmtId="164" fontId="7" fillId="4" borderId="0" pivotButton="0" quotePrefix="0" xfId="0"/>
    <xf numFmtId="164" fontId="2" fillId="0" borderId="1" pivotButton="0" quotePrefix="0" xfId="0"/>
    <xf numFmtId="2" fontId="2" fillId="0" borderId="0" pivotButton="0" quotePrefix="0" xfId="0"/>
    <xf numFmtId="2" fontId="7" fillId="0" borderId="0" pivotButton="0" quotePrefix="0" xfId="0"/>
    <xf numFmtId="2" fontId="5" fillId="0" borderId="0" pivotButton="0" quotePrefix="0" xfId="0"/>
    <xf numFmtId="2" fontId="5" fillId="4" borderId="0" pivotButton="0" quotePrefix="0" xfId="0"/>
    <xf numFmtId="164" fontId="10" fillId="5" borderId="1" pivotButton="0" quotePrefix="0" xfId="0"/>
    <xf numFmtId="164" fontId="11" fillId="5" borderId="1" pivotButton="0" quotePrefix="0" xfId="0"/>
    <xf numFmtId="164" fontId="6" fillId="0" borderId="0" pivotButton="0" quotePrefix="0" xfId="0"/>
    <xf numFmtId="10" fontId="7" fillId="0" borderId="0" pivotButton="0" quotePrefix="0" xfId="0"/>
    <xf numFmtId="165" fontId="5" fillId="0" borderId="0" pivotButton="0" quotePrefix="0" xfId="0"/>
    <xf numFmtId="164" fontId="2" fillId="6" borderId="0" pivotButton="0" quotePrefix="0" xfId="0"/>
    <xf numFmtId="164" fontId="2" fillId="5" borderId="0" pivotButton="0" quotePrefix="0" xfId="0"/>
    <xf numFmtId="164" fontId="2" fillId="7" borderId="0" pivotButton="0" quotePrefix="0" xfId="0"/>
    <xf numFmtId="2" fontId="2" fillId="6" borderId="0" pivotButton="0" quotePrefix="0" xfId="0"/>
    <xf numFmtId="2" fontId="2" fillId="5" borderId="0" pivotButton="0" quotePrefix="0" xfId="0"/>
    <xf numFmtId="2" fontId="2" fillId="7" borderId="0" pivotButton="0" quotePrefix="0" xfId="0"/>
    <xf numFmtId="164" fontId="10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5" fillId="0" borderId="0" pivotButton="0" quotePrefix="0" xfId="0"/>
    <xf numFmtId="165" fontId="11" fillId="5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Hengli Hydraulics — Financial Model</t>
        </is>
      </c>
    </row>
    <row r="3">
      <c r="A3" s="2" t="inlineStr">
        <is>
          <t>Company</t>
        </is>
      </c>
      <c r="B3" s="3" t="inlineStr">
        <is>
          <t>Jiangsu Hengli Hydraulic Co., Ltd.</t>
        </is>
      </c>
    </row>
    <row r="4">
      <c r="A4" s="2" t="inlineStr">
        <is>
          <t>Ticker</t>
        </is>
      </c>
      <c r="B4" s="3" t="inlineStr">
        <is>
          <t>SSE:601100</t>
        </is>
      </c>
    </row>
    <row r="5">
      <c r="A5" s="2" t="inlineStr">
        <is>
          <t>Reporting currency</t>
        </is>
      </c>
      <c r="B5" s="3" t="inlineStr">
        <is>
          <t>RMB (millions)</t>
        </is>
      </c>
    </row>
    <row r="6">
      <c r="A6" s="2" t="inlineStr">
        <is>
          <t>Fiscal year end</t>
        </is>
      </c>
      <c r="B6" s="3" t="inlineStr">
        <is>
          <t>December 31</t>
        </is>
      </c>
    </row>
    <row r="7">
      <c r="A7" s="2" t="inlineStr">
        <is>
          <t>Model date</t>
        </is>
      </c>
      <c r="B7" s="3" t="inlineStr">
        <is>
          <t>2026-05-19</t>
        </is>
      </c>
    </row>
    <row r="8">
      <c r="A8" s="2" t="inlineStr">
        <is>
          <t>Model author</t>
        </is>
      </c>
      <c r="B8" s="3" t="inlineStr">
        <is>
          <t>Equity Research Initiation — Task 2 (Financial Modeling)</t>
        </is>
      </c>
    </row>
    <row r="9">
      <c r="A9" s="2" t="inlineStr"/>
      <c r="B9" s="3" t="inlineStr"/>
    </row>
    <row r="10">
      <c r="A10" s="2" t="inlineStr">
        <is>
          <t>Data sources</t>
        </is>
      </c>
      <c r="B10" s="3" t="inlineStr">
        <is>
          <t>Audited consolidated FS from cninfo: FY2025 AR (2026-04-20), FY2023 AR (2024-04-22), FY2021 AR (2022-04-25). Segment &amp; geo splits per FY2025 AR p.15–16 (top-5 customer &amp; domestic/overseas).</t>
        </is>
      </c>
    </row>
    <row r="11">
      <c r="A11" s="2" t="inlineStr"/>
      <c r="B11" s="3" t="inlineStr"/>
    </row>
    <row r="12">
      <c r="A12" s="2" t="inlineStr">
        <is>
          <t>Tabs</t>
        </is>
      </c>
      <c r="B12" s="3" t="inlineStr">
        <is>
          <t>1. Revenue Model — product (5) + geography (6) breakdowns, FY20A-FY30E</t>
        </is>
      </c>
    </row>
    <row r="13">
      <c r="A13" s="2" t="inlineStr"/>
      <c r="B13" s="3" t="inlineStr">
        <is>
          <t>2. Income Statement — 40+ line items, FY20A-FY30E</t>
        </is>
      </c>
    </row>
    <row r="14">
      <c r="A14" s="2" t="inlineStr"/>
      <c r="B14" s="3" t="inlineStr">
        <is>
          <t>3. Cash Flow Statement — CFO/CFI/CFF, FY20A-FY30E</t>
        </is>
      </c>
    </row>
    <row r="15">
      <c r="A15" s="2" t="inlineStr"/>
      <c r="B15" s="3" t="inlineStr">
        <is>
          <t>4. Balance Sheet — FY22A-FY30E (older years partial)</t>
        </is>
      </c>
    </row>
    <row r="16">
      <c r="A16" s="2" t="inlineStr"/>
      <c r="B16" s="3" t="inlineStr">
        <is>
          <t>5. Scenarios — Bull / Base / Bear comparison FY30E</t>
        </is>
      </c>
    </row>
    <row r="17">
      <c r="A17" s="2" t="inlineStr"/>
      <c r="B17" s="3" t="inlineStr">
        <is>
          <t>6. DCF Inputs — unlevered FCF for Task 3 valuation</t>
        </is>
      </c>
    </row>
    <row r="18">
      <c r="A18" s="2" t="inlineStr"/>
      <c r="B18" s="3" t="inlineStr"/>
    </row>
    <row r="19">
      <c r="A19" s="2" t="inlineStr">
        <is>
          <t>Color coding</t>
        </is>
      </c>
      <c r="B19" s="3" t="inlineStr">
        <is>
          <t>BLUE = hardcoded input (change me); BLACK = formula; GREEN = cross-sheet link</t>
        </is>
      </c>
    </row>
    <row r="20">
      <c r="A20" s="2" t="inlineStr">
        <is>
          <t>Projection shading</t>
        </is>
      </c>
      <c r="B20" s="3" t="inlineStr">
        <is>
          <t>Yellow = projected period (FY2026E–FY2030E)</t>
        </is>
      </c>
    </row>
    <row r="21">
      <c r="A21" s="2" t="inlineStr"/>
      <c r="B21" s="3" t="inlineStr"/>
    </row>
    <row r="22">
      <c r="A22" s="2" t="inlineStr">
        <is>
          <t>Caveats</t>
        </is>
      </c>
      <c r="B22" s="3" t="inlineStr">
        <is>
          <t>FY2020 / FY2021 balance-sheet detail not fully extracted (only 2 yrs of comparatives per Chinese AR).</t>
        </is>
      </c>
    </row>
    <row r="23">
      <c r="A23" s="2" t="inlineStr"/>
      <c r="B23" s="3" t="inlineStr">
        <is>
          <t>FY2022 BS extracted from FY2023 AR comparatives; certain BS sub-lines for FY2022/FY2023 estimated.</t>
        </is>
      </c>
    </row>
    <row r="24">
      <c r="A24" s="2" t="inlineStr"/>
      <c r="B24" s="3" t="inlineStr">
        <is>
          <t>Segment splits prior to FY2025 are management commentary-based estimates; FY2025 is audited.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4" t="inlineStr">
        <is>
          <t>HENGLI HYDRAULICS — REVENUE MODEL (RMB millions)</t>
        </is>
      </c>
    </row>
    <row r="3">
      <c r="B3" s="5" t="inlineStr">
        <is>
          <t>FY2020A</t>
        </is>
      </c>
      <c r="C3" s="5" t="inlineStr">
        <is>
          <t>FY2021A</t>
        </is>
      </c>
      <c r="D3" s="5" t="inlineStr">
        <is>
          <t>FY2022A</t>
        </is>
      </c>
      <c r="E3" s="5" t="inlineStr">
        <is>
          <t>FY2023A</t>
        </is>
      </c>
      <c r="F3" s="5" t="inlineStr">
        <is>
          <t>FY2024A</t>
        </is>
      </c>
      <c r="G3" s="5" t="inlineStr">
        <is>
          <t>FY2025A</t>
        </is>
      </c>
      <c r="H3" s="5" t="inlineStr">
        <is>
          <t>FY2026E</t>
        </is>
      </c>
      <c r="I3" s="5" t="inlineStr">
        <is>
          <t>FY2027E</t>
        </is>
      </c>
      <c r="J3" s="5" t="inlineStr">
        <is>
          <t>FY2028E</t>
        </is>
      </c>
      <c r="K3" s="5" t="inlineStr">
        <is>
          <t>FY2029E</t>
        </is>
      </c>
      <c r="L3" s="5" t="inlineStr">
        <is>
          <t>FY2030E</t>
        </is>
      </c>
    </row>
    <row r="5">
      <c r="A5" s="6" t="inlineStr">
        <is>
          <t>A. REVENUE BY PRODUCT SEGMENT</t>
        </is>
      </c>
    </row>
    <row r="6">
      <c r="A6" s="2" t="inlineStr">
        <is>
          <t>Hydraulic cylinders (液压油缸)</t>
        </is>
      </c>
      <c r="B6" s="7" t="n">
        <v>3534</v>
      </c>
      <c r="C6" s="7" t="n">
        <v>4188</v>
      </c>
      <c r="D6" s="7" t="n">
        <v>3608</v>
      </c>
      <c r="E6" s="7" t="n">
        <v>4090</v>
      </c>
      <c r="F6" s="7" t="n">
        <v>4760</v>
      </c>
      <c r="G6" s="7" t="n">
        <v>5254</v>
      </c>
      <c r="H6" s="8" t="n">
        <v>5621.8</v>
      </c>
      <c r="I6" s="8" t="n">
        <v>6015.3</v>
      </c>
      <c r="J6" s="8" t="n">
        <v>6496.5</v>
      </c>
      <c r="K6" s="8" t="n">
        <v>6951.3</v>
      </c>
      <c r="L6" s="8" t="n">
        <v>7368.4</v>
      </c>
    </row>
    <row r="7">
      <c r="A7" s="9" t="inlineStr">
        <is>
          <t xml:space="preserve">  YoY growth %</t>
        </is>
      </c>
      <c r="C7" s="10">
        <f>(C6/B6)-1</f>
        <v/>
      </c>
      <c r="D7" s="10">
        <f>(D6/C6)-1</f>
        <v/>
      </c>
      <c r="E7" s="10">
        <f>(E6/D6)-1</f>
        <v/>
      </c>
      <c r="F7" s="10">
        <f>(F6/E6)-1</f>
        <v/>
      </c>
      <c r="G7" s="10">
        <f>(G6/F6)-1</f>
        <v/>
      </c>
      <c r="H7" s="10">
        <f>(H6/G6)-1</f>
        <v/>
      </c>
      <c r="I7" s="10">
        <f>(I6/H6)-1</f>
        <v/>
      </c>
      <c r="J7" s="10">
        <f>(J6/I6)-1</f>
        <v/>
      </c>
      <c r="K7" s="10">
        <f>(K6/J6)-1</f>
        <v/>
      </c>
      <c r="L7" s="10">
        <f>(L6/K6)-1</f>
        <v/>
      </c>
    </row>
    <row r="8">
      <c r="A8" t="inlineStr">
        <is>
          <t xml:space="preserve">    — Excavator cylinders (~75% of segment)</t>
        </is>
      </c>
      <c r="B8" s="11">
        <f>B6*0.75</f>
        <v/>
      </c>
      <c r="C8" s="11">
        <f>C6*0.75</f>
        <v/>
      </c>
      <c r="D8" s="11">
        <f>D6*0.75</f>
        <v/>
      </c>
      <c r="E8" s="11">
        <f>E6*0.75</f>
        <v/>
      </c>
      <c r="F8" s="11">
        <f>F6*0.75</f>
        <v/>
      </c>
      <c r="G8" s="11">
        <f>G6*0.75</f>
        <v/>
      </c>
      <c r="H8" s="11">
        <f>H6*0.75</f>
        <v/>
      </c>
      <c r="I8" s="11">
        <f>I6*0.75</f>
        <v/>
      </c>
      <c r="J8" s="11">
        <f>J6*0.75</f>
        <v/>
      </c>
      <c r="K8" s="11">
        <f>K6*0.75</f>
        <v/>
      </c>
      <c r="L8" s="11">
        <f>L6*0.75</f>
        <v/>
      </c>
    </row>
    <row r="9">
      <c r="A9" t="inlineStr">
        <is>
          <t xml:space="preserve">    — Non-excavator (AWP, marine, wind, etc.)</t>
        </is>
      </c>
      <c r="B9" s="11">
        <f>B6*0.25</f>
        <v/>
      </c>
      <c r="C9" s="11">
        <f>C6*0.25</f>
        <v/>
      </c>
      <c r="D9" s="11">
        <f>D6*0.25</f>
        <v/>
      </c>
      <c r="E9" s="11">
        <f>E6*0.25</f>
        <v/>
      </c>
      <c r="F9" s="11">
        <f>F6*0.25</f>
        <v/>
      </c>
      <c r="G9" s="11">
        <f>G6*0.25</f>
        <v/>
      </c>
      <c r="H9" s="11">
        <f>H6*0.25</f>
        <v/>
      </c>
      <c r="I9" s="11">
        <f>I6*0.25</f>
        <v/>
      </c>
      <c r="J9" s="11">
        <f>J6*0.25</f>
        <v/>
      </c>
      <c r="K9" s="11">
        <f>K6*0.25</f>
        <v/>
      </c>
      <c r="L9" s="11">
        <f>L6*0.25</f>
        <v/>
      </c>
    </row>
    <row r="11">
      <c r="A11" s="2" t="inlineStr">
        <is>
          <t>Hydraulic pumps, valves &amp; motors</t>
        </is>
      </c>
      <c r="B11" s="7" t="n">
        <v>2517</v>
      </c>
      <c r="C11" s="7" t="n">
        <v>3010</v>
      </c>
      <c r="D11" s="7" t="n">
        <v>2780</v>
      </c>
      <c r="E11" s="7" t="n">
        <v>3050</v>
      </c>
      <c r="F11" s="7" t="n">
        <v>3585</v>
      </c>
      <c r="G11" s="7" t="n">
        <v>4326</v>
      </c>
      <c r="H11" s="8" t="n">
        <v>5018.2</v>
      </c>
      <c r="I11" s="8" t="n">
        <v>5770.9</v>
      </c>
      <c r="J11" s="8" t="n">
        <v>6521.1</v>
      </c>
      <c r="K11" s="8" t="n">
        <v>7303.6</v>
      </c>
      <c r="L11" s="8" t="n">
        <v>8034</v>
      </c>
    </row>
    <row r="12">
      <c r="A12" s="9" t="inlineStr">
        <is>
          <t xml:space="preserve">  YoY growth %</t>
        </is>
      </c>
      <c r="C12" s="10">
        <f>(C11/B11)-1</f>
        <v/>
      </c>
      <c r="D12" s="10">
        <f>(D11/C11)-1</f>
        <v/>
      </c>
      <c r="E12" s="10">
        <f>(E11/D11)-1</f>
        <v/>
      </c>
      <c r="F12" s="10">
        <f>(F11/E11)-1</f>
        <v/>
      </c>
      <c r="G12" s="10">
        <f>(G11/F11)-1</f>
        <v/>
      </c>
      <c r="H12" s="10">
        <f>(H11/G11)-1</f>
        <v/>
      </c>
      <c r="I12" s="10">
        <f>(I11/H11)-1</f>
        <v/>
      </c>
      <c r="J12" s="10">
        <f>(J11/I11)-1</f>
        <v/>
      </c>
      <c r="K12" s="10">
        <f>(K11/J11)-1</f>
        <v/>
      </c>
      <c r="L12" s="10">
        <f>(L11/K11)-1</f>
        <v/>
      </c>
    </row>
    <row r="13">
      <c r="A13" t="inlineStr">
        <is>
          <t xml:space="preserve">    — Main pumps (excavator)</t>
        </is>
      </c>
      <c r="B13" s="11">
        <f>B11*0.55</f>
        <v/>
      </c>
      <c r="C13" s="11">
        <f>C11*0.55</f>
        <v/>
      </c>
      <c r="D13" s="11">
        <f>D11*0.55</f>
        <v/>
      </c>
      <c r="E13" s="11">
        <f>E11*0.55</f>
        <v/>
      </c>
      <c r="F13" s="11">
        <f>F11*0.55</f>
        <v/>
      </c>
      <c r="G13" s="11">
        <f>G11*0.55</f>
        <v/>
      </c>
      <c r="H13" s="11">
        <f>H11*0.55</f>
        <v/>
      </c>
      <c r="I13" s="11">
        <f>I11*0.55</f>
        <v/>
      </c>
      <c r="J13" s="11">
        <f>J11*0.55</f>
        <v/>
      </c>
      <c r="K13" s="11">
        <f>K11*0.55</f>
        <v/>
      </c>
      <c r="L13" s="11">
        <f>L11*0.55</f>
        <v/>
      </c>
    </row>
    <row r="14">
      <c r="A14" t="inlineStr">
        <is>
          <t xml:space="preserve">    — Multi-way valves</t>
        </is>
      </c>
      <c r="B14" s="11">
        <f>B11*0.20</f>
        <v/>
      </c>
      <c r="C14" s="11">
        <f>C11*0.20</f>
        <v/>
      </c>
      <c r="D14" s="11">
        <f>D11*0.20</f>
        <v/>
      </c>
      <c r="E14" s="11">
        <f>E11*0.20</f>
        <v/>
      </c>
      <c r="F14" s="11">
        <f>F11*0.20</f>
        <v/>
      </c>
      <c r="G14" s="11">
        <f>G11*0.20</f>
        <v/>
      </c>
      <c r="H14" s="11">
        <f>H11*0.20</f>
        <v/>
      </c>
      <c r="I14" s="11">
        <f>I11*0.20</f>
        <v/>
      </c>
      <c r="J14" s="11">
        <f>J11*0.20</f>
        <v/>
      </c>
      <c r="K14" s="11">
        <f>K11*0.20</f>
        <v/>
      </c>
      <c r="L14" s="11">
        <f>L11*0.20</f>
        <v/>
      </c>
    </row>
    <row r="15">
      <c r="A15" t="inlineStr">
        <is>
          <t xml:space="preserve">    — Travel/swing motors &amp; industrial pumps</t>
        </is>
      </c>
      <c r="B15" s="11">
        <f>B11*0.25</f>
        <v/>
      </c>
      <c r="C15" s="11">
        <f>C11*0.25</f>
        <v/>
      </c>
      <c r="D15" s="11">
        <f>D11*0.25</f>
        <v/>
      </c>
      <c r="E15" s="11">
        <f>E11*0.25</f>
        <v/>
      </c>
      <c r="F15" s="11">
        <f>F11*0.25</f>
        <v/>
      </c>
      <c r="G15" s="11">
        <f>G11*0.25</f>
        <v/>
      </c>
      <c r="H15" s="11">
        <f>H11*0.25</f>
        <v/>
      </c>
      <c r="I15" s="11">
        <f>I11*0.25</f>
        <v/>
      </c>
      <c r="J15" s="11">
        <f>J11*0.25</f>
        <v/>
      </c>
      <c r="K15" s="11">
        <f>K11*0.25</f>
        <v/>
      </c>
      <c r="L15" s="11">
        <f>L11*0.25</f>
        <v/>
      </c>
    </row>
    <row r="17">
      <c r="A17" s="2" t="inlineStr">
        <is>
          <t>Hydraulic systems (TBM, marine, water)</t>
        </is>
      </c>
      <c r="B17" s="7" t="n">
        <v>350</v>
      </c>
      <c r="C17" s="7" t="n">
        <v>410</v>
      </c>
      <c r="D17" s="7" t="n">
        <v>340</v>
      </c>
      <c r="E17" s="7" t="n">
        <v>320</v>
      </c>
      <c r="F17" s="7" t="n">
        <v>296</v>
      </c>
      <c r="G17" s="7" t="n">
        <v>385</v>
      </c>
      <c r="H17" s="8" t="n">
        <v>454.3</v>
      </c>
      <c r="I17" s="8" t="n">
        <v>522.4</v>
      </c>
      <c r="J17" s="8" t="n">
        <v>585.1</v>
      </c>
      <c r="K17" s="8" t="n">
        <v>643.7</v>
      </c>
      <c r="L17" s="8" t="n">
        <v>695.1</v>
      </c>
    </row>
    <row r="18">
      <c r="A18" s="9" t="inlineStr">
        <is>
          <t xml:space="preserve">  YoY growth %</t>
        </is>
      </c>
      <c r="C18" s="10">
        <f>(C17/B17)-1</f>
        <v/>
      </c>
      <c r="D18" s="10">
        <f>(D17/C17)-1</f>
        <v/>
      </c>
      <c r="E18" s="10">
        <f>(E17/D17)-1</f>
        <v/>
      </c>
      <c r="F18" s="10">
        <f>(F17/E17)-1</f>
        <v/>
      </c>
      <c r="G18" s="10">
        <f>(G17/F17)-1</f>
        <v/>
      </c>
      <c r="H18" s="10">
        <f>(H17/G17)-1</f>
        <v/>
      </c>
      <c r="I18" s="10">
        <f>(I17/H17)-1</f>
        <v/>
      </c>
      <c r="J18" s="10">
        <f>(J17/I17)-1</f>
        <v/>
      </c>
      <c r="K18" s="10">
        <f>(K17/J17)-1</f>
        <v/>
      </c>
      <c r="L18" s="10">
        <f>(L17/K17)-1</f>
        <v/>
      </c>
    </row>
    <row r="20">
      <c r="A20" s="2" t="inlineStr">
        <is>
          <t>Components, castings &amp; LINEAR-DRIVE (★ key catalyst)</t>
        </is>
      </c>
      <c r="B20" s="7" t="n">
        <v>800</v>
      </c>
      <c r="C20" s="7" t="n">
        <v>940</v>
      </c>
      <c r="D20" s="7" t="n">
        <v>850</v>
      </c>
      <c r="E20" s="7" t="n">
        <v>780</v>
      </c>
      <c r="F20" s="7" t="n">
        <v>684</v>
      </c>
      <c r="G20" s="7" t="n">
        <v>891</v>
      </c>
      <c r="H20" s="8" t="n">
        <v>1247.4</v>
      </c>
      <c r="I20" s="8" t="n">
        <v>1871.1</v>
      </c>
      <c r="J20" s="8" t="n">
        <v>2900.2</v>
      </c>
      <c r="K20" s="8" t="n">
        <v>4060.3</v>
      </c>
      <c r="L20" s="8" t="n">
        <v>5075.4</v>
      </c>
    </row>
    <row r="21">
      <c r="A21" s="9" t="inlineStr">
        <is>
          <t xml:space="preserve">  YoY growth %</t>
        </is>
      </c>
      <c r="C21" s="10">
        <f>(C20/B20)-1</f>
        <v/>
      </c>
      <c r="D21" s="10">
        <f>(D20/C20)-1</f>
        <v/>
      </c>
      <c r="E21" s="10">
        <f>(E20/D20)-1</f>
        <v/>
      </c>
      <c r="F21" s="10">
        <f>(F20/E20)-1</f>
        <v/>
      </c>
      <c r="G21" s="10">
        <f>(G20/F20)-1</f>
        <v/>
      </c>
      <c r="H21" s="10">
        <f>(H20/G20)-1</f>
        <v/>
      </c>
      <c r="I21" s="10">
        <f>(I20/H20)-1</f>
        <v/>
      </c>
      <c r="J21" s="10">
        <f>(J20/I20)-1</f>
        <v/>
      </c>
      <c r="K21" s="10">
        <f>(K20/J20)-1</f>
        <v/>
      </c>
      <c r="L21" s="10">
        <f>(L20/K20)-1</f>
        <v/>
      </c>
    </row>
    <row r="22">
      <c r="A22" t="inlineStr">
        <is>
          <t xml:space="preserve">    — Linear-drive (ball/roller screws, guideways) — mgmt 3× to RMB ~300m FY26E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30</v>
      </c>
      <c r="G22" s="7" t="n">
        <v>100</v>
      </c>
      <c r="H22" s="8" t="n">
        <v>300</v>
      </c>
      <c r="I22" s="8" t="n">
        <v>600</v>
      </c>
      <c r="J22" s="8" t="n">
        <v>1100</v>
      </c>
      <c r="K22" s="8" t="n">
        <v>1700</v>
      </c>
      <c r="L22" s="8" t="n">
        <v>2300</v>
      </c>
    </row>
    <row r="23">
      <c r="A23" t="inlineStr">
        <is>
          <t xml:space="preserve">    — Castings &amp; traditional components</t>
        </is>
      </c>
      <c r="B23" s="11">
        <f>B20-B22</f>
        <v/>
      </c>
      <c r="C23" s="11">
        <f>C20-C22</f>
        <v/>
      </c>
      <c r="D23" s="11">
        <f>D20-D22</f>
        <v/>
      </c>
      <c r="E23" s="11">
        <f>E20-E22</f>
        <v/>
      </c>
      <c r="F23" s="11">
        <f>F20-F22</f>
        <v/>
      </c>
      <c r="G23" s="11">
        <f>G20-G22</f>
        <v/>
      </c>
      <c r="H23" s="11">
        <f>H20-H22</f>
        <v/>
      </c>
      <c r="I23" s="11">
        <f>I20-I22</f>
        <v/>
      </c>
      <c r="J23" s="11">
        <f>J20-J22</f>
        <v/>
      </c>
      <c r="K23" s="11">
        <f>K20-K22</f>
        <v/>
      </c>
      <c r="L23" s="11">
        <f>L20-L22</f>
        <v/>
      </c>
    </row>
    <row r="25">
      <c r="A25" s="2" t="inlineStr">
        <is>
          <t>Other revenue (reconciling)</t>
        </is>
      </c>
      <c r="B25" s="7" t="n">
        <v>654</v>
      </c>
      <c r="C25" s="7" t="n">
        <v>761.2</v>
      </c>
      <c r="D25" s="7" t="n">
        <v>618.7</v>
      </c>
      <c r="E25" s="7" t="n">
        <v>744.6</v>
      </c>
      <c r="F25" s="7" t="n">
        <v>64.7</v>
      </c>
      <c r="G25" s="7" t="n">
        <v>85</v>
      </c>
      <c r="H25" s="8" t="n">
        <v>89.2</v>
      </c>
      <c r="I25" s="8" t="n">
        <v>93.7</v>
      </c>
      <c r="J25" s="8" t="n">
        <v>97.5</v>
      </c>
      <c r="K25" s="8" t="n">
        <v>100.4</v>
      </c>
      <c r="L25" s="8" t="n">
        <v>103.4</v>
      </c>
    </row>
    <row r="27">
      <c r="A27" s="12" t="inlineStr">
        <is>
          <t>TOTAL REVENUE (sum of products)</t>
        </is>
      </c>
      <c r="B27" s="13">
        <f>B6+B11+B17+B20+B25</f>
        <v/>
      </c>
      <c r="C27" s="13">
        <f>C6+C11+C17+C20+C25</f>
        <v/>
      </c>
      <c r="D27" s="13">
        <f>D6+D11+D17+D20+D25</f>
        <v/>
      </c>
      <c r="E27" s="13">
        <f>E6+E11+E17+E20+E25</f>
        <v/>
      </c>
      <c r="F27" s="13">
        <f>F6+F11+F17+F20+F25</f>
        <v/>
      </c>
      <c r="G27" s="13">
        <f>G6+G11+G17+G20+G25</f>
        <v/>
      </c>
      <c r="H27" s="13">
        <f>H6+H11+H17+H20+H25</f>
        <v/>
      </c>
      <c r="I27" s="13">
        <f>I6+I11+I17+I20+I25</f>
        <v/>
      </c>
      <c r="J27" s="13">
        <f>J6+J11+J17+J20+J25</f>
        <v/>
      </c>
      <c r="K27" s="13">
        <f>K6+K11+K17+K20+K25</f>
        <v/>
      </c>
      <c r="L27" s="13">
        <f>L6+L11+L17+L20+L25</f>
        <v/>
      </c>
    </row>
    <row r="28">
      <c r="A28" s="9" t="inlineStr">
        <is>
          <t xml:space="preserve">  Total revenue growth %</t>
        </is>
      </c>
      <c r="C28" s="10">
        <f>(C27/B27)-1</f>
        <v/>
      </c>
      <c r="D28" s="10">
        <f>(D27/C27)-1</f>
        <v/>
      </c>
      <c r="E28" s="10">
        <f>(E27/D27)-1</f>
        <v/>
      </c>
      <c r="F28" s="10">
        <f>(F27/E27)-1</f>
        <v/>
      </c>
      <c r="G28" s="10">
        <f>(G27/F27)-1</f>
        <v/>
      </c>
      <c r="H28" s="10">
        <f>(H27/G27)-1</f>
        <v/>
      </c>
      <c r="I28" s="10">
        <f>(I27/H27)-1</f>
        <v/>
      </c>
      <c r="J28" s="10">
        <f>(J27/I27)-1</f>
        <v/>
      </c>
      <c r="K28" s="10">
        <f>(K27/J27)-1</f>
        <v/>
      </c>
      <c r="L28" s="10">
        <f>(L27/K27)-1</f>
        <v/>
      </c>
    </row>
    <row r="30">
      <c r="A30" s="9" t="inlineStr">
        <is>
          <t>Memo: reported audited revenue (historicals)</t>
        </is>
      </c>
      <c r="B30" s="7" t="n">
        <v>7855</v>
      </c>
      <c r="C30" s="7" t="n">
        <v>9309.200000000001</v>
      </c>
      <c r="D30" s="7" t="n">
        <v>8196.700000000001</v>
      </c>
      <c r="E30" s="7" t="n">
        <v>8984.6</v>
      </c>
      <c r="F30" s="7" t="n">
        <v>9389.700000000001</v>
      </c>
      <c r="G30" s="7" t="n">
        <v>10941</v>
      </c>
    </row>
    <row r="31">
      <c r="A31" s="9" t="inlineStr">
        <is>
          <t xml:space="preserve">  Variance vs sum-of-segments (%)</t>
        </is>
      </c>
      <c r="B31" s="10">
        <f>(B30-B27)/B30</f>
        <v/>
      </c>
      <c r="C31" s="10">
        <f>(C30-C27)/C30</f>
        <v/>
      </c>
      <c r="D31" s="10">
        <f>(D30-D27)/D30</f>
        <v/>
      </c>
      <c r="E31" s="10">
        <f>(E30-E27)/E30</f>
        <v/>
      </c>
      <c r="F31" s="10">
        <f>(F30-F27)/F30</f>
        <v/>
      </c>
      <c r="G31" s="10">
        <f>(G30-G27)/G30</f>
        <v/>
      </c>
    </row>
    <row r="34">
      <c r="A34" s="6" t="inlineStr">
        <is>
          <t>B. REVENUE BY GEOGRAPHY</t>
        </is>
      </c>
    </row>
    <row r="35">
      <c r="A35" s="2" t="inlineStr">
        <is>
          <t>Greater China (domestic)</t>
        </is>
      </c>
      <c r="B35" s="7" t="n">
        <v>5800</v>
      </c>
      <c r="C35" s="7" t="n">
        <v>7000</v>
      </c>
      <c r="D35" s="7" t="n">
        <v>6100</v>
      </c>
      <c r="E35" s="7" t="n">
        <v>6800</v>
      </c>
      <c r="F35" s="7" t="n">
        <v>7250</v>
      </c>
      <c r="G35" s="7" t="n">
        <v>8750</v>
      </c>
      <c r="H35" s="8" t="n">
        <v>10150</v>
      </c>
      <c r="I35" s="8" t="n">
        <v>11672.5</v>
      </c>
      <c r="J35" s="8" t="n">
        <v>13306.7</v>
      </c>
      <c r="K35" s="8" t="n">
        <v>15036.5</v>
      </c>
      <c r="L35" s="8" t="n">
        <v>16840.9</v>
      </c>
    </row>
    <row r="36">
      <c r="A36" s="9" t="inlineStr">
        <is>
          <t xml:space="preserve">  % of total revenue</t>
        </is>
      </c>
      <c r="B36" s="10">
        <f>B35/B27</f>
        <v/>
      </c>
      <c r="C36" s="10">
        <f>C35/C27</f>
        <v/>
      </c>
      <c r="D36" s="10">
        <f>D35/D27</f>
        <v/>
      </c>
      <c r="E36" s="10">
        <f>E35/E27</f>
        <v/>
      </c>
      <c r="F36" s="10">
        <f>F35/F27</f>
        <v/>
      </c>
      <c r="G36" s="10">
        <f>G35/G27</f>
        <v/>
      </c>
      <c r="H36" s="10">
        <f>H35/H27</f>
        <v/>
      </c>
      <c r="I36" s="10">
        <f>I35/I27</f>
        <v/>
      </c>
      <c r="J36" s="10">
        <f>J35/J27</f>
        <v/>
      </c>
      <c r="K36" s="10">
        <f>K35/K27</f>
        <v/>
      </c>
      <c r="L36" s="10">
        <f>L35/L27</f>
        <v/>
      </c>
    </row>
    <row r="37">
      <c r="A37" s="9" t="inlineStr">
        <is>
          <t xml:space="preserve">  YoY %</t>
        </is>
      </c>
      <c r="C37" s="10">
        <f>(C35/B35)-1</f>
        <v/>
      </c>
      <c r="D37" s="10">
        <f>(D35/C35)-1</f>
        <v/>
      </c>
      <c r="E37" s="10">
        <f>(E35/D35)-1</f>
        <v/>
      </c>
      <c r="F37" s="10">
        <f>(F35/E35)-1</f>
        <v/>
      </c>
      <c r="G37" s="10">
        <f>(G35/F35)-1</f>
        <v/>
      </c>
      <c r="H37" s="10">
        <f>(H35/G35)-1</f>
        <v/>
      </c>
      <c r="I37" s="10">
        <f>(I35/H35)-1</f>
        <v/>
      </c>
      <c r="J37" s="10">
        <f>(J35/I35)-1</f>
        <v/>
      </c>
      <c r="K37" s="10">
        <f>(K35/J35)-1</f>
        <v/>
      </c>
      <c r="L37" s="10">
        <f>(L35/K35)-1</f>
        <v/>
      </c>
    </row>
    <row r="39">
      <c r="A39" s="2" t="inlineStr">
        <is>
          <t>Overseas (total)</t>
        </is>
      </c>
      <c r="B39" s="7" t="n">
        <v>2055</v>
      </c>
      <c r="C39" s="7" t="n">
        <v>2309.2</v>
      </c>
      <c r="D39" s="7" t="n">
        <v>2096.7</v>
      </c>
      <c r="E39" s="7" t="n">
        <v>2184.6</v>
      </c>
      <c r="F39" s="7" t="n">
        <v>2139.7</v>
      </c>
      <c r="G39" s="7" t="n">
        <v>2110</v>
      </c>
      <c r="H39" s="8" t="n">
        <v>2489.8</v>
      </c>
      <c r="I39" s="8" t="n">
        <v>2987.8</v>
      </c>
      <c r="J39" s="8" t="n">
        <v>3525.6</v>
      </c>
      <c r="K39" s="8" t="n">
        <v>4054.4</v>
      </c>
      <c r="L39" s="8" t="n">
        <v>4540.9</v>
      </c>
    </row>
    <row r="40">
      <c r="A40" s="9" t="inlineStr">
        <is>
          <t xml:space="preserve">  % of total revenue</t>
        </is>
      </c>
      <c r="B40" s="10">
        <f>B39/B27</f>
        <v/>
      </c>
      <c r="C40" s="10">
        <f>C39/C27</f>
        <v/>
      </c>
      <c r="D40" s="10">
        <f>D39/D27</f>
        <v/>
      </c>
      <c r="E40" s="10">
        <f>E39/E27</f>
        <v/>
      </c>
      <c r="F40" s="10">
        <f>F39/F27</f>
        <v/>
      </c>
      <c r="G40" s="10">
        <f>G39/G27</f>
        <v/>
      </c>
      <c r="H40" s="10">
        <f>H39/H27</f>
        <v/>
      </c>
      <c r="I40" s="10">
        <f>I39/I27</f>
        <v/>
      </c>
      <c r="J40" s="10">
        <f>J39/J27</f>
        <v/>
      </c>
      <c r="K40" s="10">
        <f>K39/K27</f>
        <v/>
      </c>
      <c r="L40" s="10">
        <f>L39/L27</f>
        <v/>
      </c>
    </row>
    <row r="41">
      <c r="A41" t="inlineStr">
        <is>
          <t xml:space="preserve">    — Asia-Pacific (ex-China): Japan, India, Indonesia, S. Korea</t>
        </is>
      </c>
      <c r="B41" s="7" t="n">
        <v>900</v>
      </c>
      <c r="C41" s="7" t="n">
        <v>1000</v>
      </c>
      <c r="D41" s="7" t="n">
        <v>920</v>
      </c>
      <c r="E41" s="7" t="n">
        <v>950</v>
      </c>
      <c r="F41" s="7" t="n">
        <v>920</v>
      </c>
      <c r="G41" s="7" t="n">
        <v>850</v>
      </c>
      <c r="H41" s="8" t="n">
        <v>935</v>
      </c>
      <c r="I41" s="8" t="n">
        <v>1075.2</v>
      </c>
      <c r="J41" s="8" t="n">
        <v>1268.8</v>
      </c>
      <c r="K41" s="8" t="n">
        <v>1459.1</v>
      </c>
      <c r="L41" s="8" t="n">
        <v>1634.2</v>
      </c>
    </row>
    <row r="42">
      <c r="A42" t="inlineStr">
        <is>
          <t xml:space="preserve">    — Europe: Germany, UK, Italy, France</t>
        </is>
      </c>
      <c r="B42" s="7" t="n">
        <v>550</v>
      </c>
      <c r="C42" s="7" t="n">
        <v>620</v>
      </c>
      <c r="D42" s="7" t="n">
        <v>580</v>
      </c>
      <c r="E42" s="7" t="n">
        <v>620</v>
      </c>
      <c r="F42" s="7" t="n">
        <v>600</v>
      </c>
      <c r="G42" s="7" t="n">
        <v>620</v>
      </c>
      <c r="H42" s="8" t="n">
        <v>669.6</v>
      </c>
      <c r="I42" s="8" t="n">
        <v>736.6</v>
      </c>
      <c r="J42" s="8" t="n">
        <v>810.2</v>
      </c>
      <c r="K42" s="8" t="n">
        <v>891.2</v>
      </c>
      <c r="L42" s="8" t="n">
        <v>962.5</v>
      </c>
    </row>
    <row r="43">
      <c r="A43" t="inlineStr">
        <is>
          <t xml:space="preserve">    — North America: USA + Mexico ★ (Mexico ramp 2026-28)</t>
        </is>
      </c>
      <c r="B43" s="7" t="n">
        <v>500</v>
      </c>
      <c r="C43" s="7" t="n">
        <v>580</v>
      </c>
      <c r="D43" s="7" t="n">
        <v>510</v>
      </c>
      <c r="E43" s="7" t="n">
        <v>530</v>
      </c>
      <c r="F43" s="7" t="n">
        <v>540</v>
      </c>
      <c r="G43" s="7" t="n">
        <v>580</v>
      </c>
      <c r="H43" s="8" t="n">
        <v>754</v>
      </c>
      <c r="I43" s="8" t="n">
        <v>980.2</v>
      </c>
      <c r="J43" s="8" t="n">
        <v>1225.2</v>
      </c>
      <c r="K43" s="8" t="n">
        <v>1445.8</v>
      </c>
      <c r="L43" s="8" t="n">
        <v>1619.3</v>
      </c>
    </row>
    <row r="44">
      <c r="A44" t="inlineStr">
        <is>
          <t xml:space="preserve">    — Rest of World (Brazil, Guinea, etc.)</t>
        </is>
      </c>
      <c r="B44" s="7" t="n">
        <v>105</v>
      </c>
      <c r="C44" s="7" t="n">
        <v>109.2</v>
      </c>
      <c r="D44" s="7" t="n">
        <v>86.7</v>
      </c>
      <c r="E44" s="7" t="n">
        <v>84.59999999999999</v>
      </c>
      <c r="F44" s="7" t="n">
        <v>79.7</v>
      </c>
      <c r="G44" s="7" t="n">
        <v>60</v>
      </c>
      <c r="H44" s="8" t="n">
        <v>66</v>
      </c>
      <c r="I44" s="8" t="n">
        <v>73.90000000000001</v>
      </c>
      <c r="J44" s="8" t="n">
        <v>82.8</v>
      </c>
      <c r="K44" s="8" t="n">
        <v>91.09999999999999</v>
      </c>
      <c r="L44" s="8" t="n">
        <v>98.40000000000001</v>
      </c>
    </row>
    <row r="46">
      <c r="A46" s="12" t="inlineStr">
        <is>
          <t>TOTAL REVENUE (sum by geography)</t>
        </is>
      </c>
      <c r="B46" s="14">
        <f>B35+B39</f>
        <v/>
      </c>
      <c r="C46" s="14">
        <f>C35+C39</f>
        <v/>
      </c>
      <c r="D46" s="14">
        <f>D35+D39</f>
        <v/>
      </c>
      <c r="E46" s="14">
        <f>E35+E39</f>
        <v/>
      </c>
      <c r="F46" s="14">
        <f>F35+F39</f>
        <v/>
      </c>
      <c r="G46" s="14">
        <f>G35+G39</f>
        <v/>
      </c>
      <c r="H46" s="14">
        <f>H35+H39</f>
        <v/>
      </c>
      <c r="I46" s="14">
        <f>I35+I39</f>
        <v/>
      </c>
      <c r="J46" s="14">
        <f>J35+J39</f>
        <v/>
      </c>
      <c r="K46" s="14">
        <f>K35+K39</f>
        <v/>
      </c>
      <c r="L46" s="14">
        <f>L35+L39</f>
        <v/>
      </c>
    </row>
    <row r="48">
      <c r="A48" s="6" t="inlineStr">
        <is>
          <t>C. REVENUE BY CHANNEL</t>
        </is>
      </c>
    </row>
    <row r="49">
      <c r="A49" s="9" t="inlineStr">
        <is>
          <t>100% direct OEM (no distribution layer)</t>
        </is>
      </c>
      <c r="B49" s="11">
        <f>B27</f>
        <v/>
      </c>
      <c r="C49" s="11">
        <f>C27</f>
        <v/>
      </c>
      <c r="D49" s="11">
        <f>D27</f>
        <v/>
      </c>
      <c r="E49" s="11">
        <f>E27</f>
        <v/>
      </c>
      <c r="F49" s="11">
        <f>F27</f>
        <v/>
      </c>
      <c r="G49" s="11">
        <f>G27</f>
        <v/>
      </c>
      <c r="H49" s="11">
        <f>H27</f>
        <v/>
      </c>
      <c r="I49" s="11">
        <f>I27</f>
        <v/>
      </c>
      <c r="J49" s="11">
        <f>J27</f>
        <v/>
      </c>
      <c r="K49" s="11">
        <f>K27</f>
        <v/>
      </c>
      <c r="L49" s="11">
        <f>L27</f>
        <v/>
      </c>
    </row>
    <row r="50">
      <c r="A50" s="9" t="inlineStr">
        <is>
          <t>Top-5 customer concentration (Cat, Sany, XCMG, Komatsu, Liugong)</t>
        </is>
      </c>
      <c r="B50" s="7" t="n">
        <v>3400</v>
      </c>
      <c r="C50" s="7" t="n">
        <v>4050</v>
      </c>
      <c r="D50" s="7" t="n">
        <v>3500</v>
      </c>
      <c r="E50" s="7" t="n">
        <v>3812</v>
      </c>
      <c r="F50" s="7" t="n">
        <v>4144</v>
      </c>
      <c r="G50" s="7" t="n">
        <v>4602</v>
      </c>
      <c r="H50" s="11">
        <f>H27*0.42</f>
        <v/>
      </c>
      <c r="I50" s="11">
        <f>I27*0.42</f>
        <v/>
      </c>
      <c r="J50" s="11">
        <f>J27*0.42</f>
        <v/>
      </c>
      <c r="K50" s="11">
        <f>K27*0.42</f>
        <v/>
      </c>
      <c r="L50" s="11">
        <f>L27*0.42</f>
        <v/>
      </c>
    </row>
    <row r="51">
      <c r="A51" s="9" t="inlineStr">
        <is>
          <t xml:space="preserve">  Top-5 as % of revenue</t>
        </is>
      </c>
      <c r="B51" s="10">
        <f>B50/B27</f>
        <v/>
      </c>
      <c r="C51" s="10">
        <f>C50/C27</f>
        <v/>
      </c>
      <c r="D51" s="10">
        <f>D50/D27</f>
        <v/>
      </c>
      <c r="E51" s="10">
        <f>E50/E27</f>
        <v/>
      </c>
      <c r="F51" s="10">
        <f>F50/F27</f>
        <v/>
      </c>
      <c r="G51" s="10">
        <f>G50/G27</f>
        <v/>
      </c>
      <c r="H51" s="10">
        <f>H50/H27</f>
        <v/>
      </c>
      <c r="I51" s="10">
        <f>I50/I27</f>
        <v/>
      </c>
      <c r="J51" s="10">
        <f>J50/J27</f>
        <v/>
      </c>
      <c r="K51" s="10">
        <f>K50/K27</f>
        <v/>
      </c>
      <c r="L51" s="10">
        <f>L50/L27</f>
        <v/>
      </c>
    </row>
  </sheetData>
  <mergeCells count="4">
    <mergeCell ref="A48:L48"/>
    <mergeCell ref="A34:L34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4" t="inlineStr">
        <is>
          <t>HENGLI HYDRAULICS — CONSOLIDATED INCOME STATEMENT (RMB millions)</t>
        </is>
      </c>
    </row>
    <row r="3">
      <c r="B3" s="5" t="inlineStr">
        <is>
          <t>FY2020A</t>
        </is>
      </c>
      <c r="C3" s="5" t="inlineStr">
        <is>
          <t>FY2021A</t>
        </is>
      </c>
      <c r="D3" s="5" t="inlineStr">
        <is>
          <t>FY2022A</t>
        </is>
      </c>
      <c r="E3" s="5" t="inlineStr">
        <is>
          <t>FY2023A</t>
        </is>
      </c>
      <c r="F3" s="5" t="inlineStr">
        <is>
          <t>FY2024A</t>
        </is>
      </c>
      <c r="G3" s="5" t="inlineStr">
        <is>
          <t>FY2025A</t>
        </is>
      </c>
      <c r="H3" s="5" t="inlineStr">
        <is>
          <t>FY2026E</t>
        </is>
      </c>
      <c r="I3" s="5" t="inlineStr">
        <is>
          <t>FY2027E</t>
        </is>
      </c>
      <c r="J3" s="5" t="inlineStr">
        <is>
          <t>FY2028E</t>
        </is>
      </c>
      <c r="K3" s="5" t="inlineStr">
        <is>
          <t>FY2029E</t>
        </is>
      </c>
      <c r="L3" s="5" t="inlineStr">
        <is>
          <t>FY2030E</t>
        </is>
      </c>
    </row>
    <row r="5">
      <c r="A5" s="2" t="inlineStr">
        <is>
          <t>Revenue</t>
        </is>
      </c>
      <c r="B5" s="15">
        <f>'Revenue Model'!B27</f>
        <v/>
      </c>
      <c r="C5" s="15">
        <f>'Revenue Model'!C27</f>
        <v/>
      </c>
      <c r="D5" s="15">
        <f>'Revenue Model'!D27</f>
        <v/>
      </c>
      <c r="E5" s="15">
        <f>'Revenue Model'!E27</f>
        <v/>
      </c>
      <c r="F5" s="15">
        <f>'Revenue Model'!F27</f>
        <v/>
      </c>
      <c r="G5" s="15">
        <f>'Revenue Model'!G27</f>
        <v/>
      </c>
      <c r="H5" s="15">
        <f>'Revenue Model'!H27</f>
        <v/>
      </c>
      <c r="I5" s="15">
        <f>'Revenue Model'!I27</f>
        <v/>
      </c>
      <c r="J5" s="15">
        <f>'Revenue Model'!J27</f>
        <v/>
      </c>
      <c r="K5" s="15">
        <f>'Revenue Model'!K27</f>
        <v/>
      </c>
      <c r="L5" s="15">
        <f>'Revenue Model'!L27</f>
        <v/>
      </c>
    </row>
    <row r="6">
      <c r="A6" s="9" t="inlineStr">
        <is>
          <t xml:space="preserve">    YoY growth %</t>
        </is>
      </c>
      <c r="C6" s="10">
        <f>(C5/B5)-1</f>
        <v/>
      </c>
      <c r="D6" s="10">
        <f>(D5/C5)-1</f>
        <v/>
      </c>
      <c r="E6" s="10">
        <f>(E5/D5)-1</f>
        <v/>
      </c>
      <c r="F6" s="10">
        <f>(F5/E5)-1</f>
        <v/>
      </c>
      <c r="G6" s="10">
        <f>(G5/F5)-1</f>
        <v/>
      </c>
      <c r="H6" s="10">
        <f>(H5/G5)-1</f>
        <v/>
      </c>
      <c r="I6" s="10">
        <f>(I5/H5)-1</f>
        <v/>
      </c>
      <c r="J6" s="10">
        <f>(J5/I5)-1</f>
        <v/>
      </c>
      <c r="K6" s="10">
        <f>(K5/J5)-1</f>
        <v/>
      </c>
      <c r="L6" s="10">
        <f>(L5/K5)-1</f>
        <v/>
      </c>
    </row>
    <row r="8">
      <c r="A8" t="inlineStr">
        <is>
          <t>Cost of revenue (COGS)</t>
        </is>
      </c>
      <c r="B8" s="7" t="n">
        <v>4391</v>
      </c>
      <c r="C8" s="7" t="n">
        <v>5211.9</v>
      </c>
      <c r="D8" s="7" t="n">
        <v>4872.7</v>
      </c>
      <c r="E8" s="7" t="n">
        <v>5220</v>
      </c>
      <c r="F8" s="7" t="n">
        <v>5368.2</v>
      </c>
      <c r="G8" s="7" t="n">
        <v>6392</v>
      </c>
      <c r="H8" s="16">
        <f>H5*(1-0.425)</f>
        <v/>
      </c>
      <c r="I8" s="16">
        <f>I5*(1-0.43)</f>
        <v/>
      </c>
      <c r="J8" s="16">
        <f>J5*(1-0.435)</f>
        <v/>
      </c>
      <c r="K8" s="16">
        <f>K5*(1-0.435)</f>
        <v/>
      </c>
      <c r="L8" s="16">
        <f>L5*(1-0.435)</f>
        <v/>
      </c>
    </row>
    <row r="9">
      <c r="A9" s="2" t="inlineStr">
        <is>
          <t>Gross profit</t>
        </is>
      </c>
      <c r="B9" s="17">
        <f>B5-B8</f>
        <v/>
      </c>
      <c r="C9" s="17">
        <f>C5-C8</f>
        <v/>
      </c>
      <c r="D9" s="17">
        <f>D5-D8</f>
        <v/>
      </c>
      <c r="E9" s="17">
        <f>E5-E8</f>
        <v/>
      </c>
      <c r="F9" s="17">
        <f>F5-F8</f>
        <v/>
      </c>
      <c r="G9" s="17">
        <f>G5-G8</f>
        <v/>
      </c>
      <c r="H9" s="17">
        <f>H5-H8</f>
        <v/>
      </c>
      <c r="I9" s="17">
        <f>I5-I8</f>
        <v/>
      </c>
      <c r="J9" s="17">
        <f>J5-J8</f>
        <v/>
      </c>
      <c r="K9" s="17">
        <f>K5-K8</f>
        <v/>
      </c>
      <c r="L9" s="17">
        <f>L5-L8</f>
        <v/>
      </c>
    </row>
    <row r="10">
      <c r="A10" s="9" t="inlineStr">
        <is>
          <t xml:space="preserve">    Gross margin %</t>
        </is>
      </c>
      <c r="B10" s="10">
        <f>B9/B5</f>
        <v/>
      </c>
      <c r="C10" s="10">
        <f>C9/C5</f>
        <v/>
      </c>
      <c r="D10" s="10">
        <f>D9/D5</f>
        <v/>
      </c>
      <c r="E10" s="10">
        <f>E9/E5</f>
        <v/>
      </c>
      <c r="F10" s="10">
        <f>F9/F5</f>
        <v/>
      </c>
      <c r="G10" s="10">
        <f>G9/G5</f>
        <v/>
      </c>
      <c r="H10" s="10">
        <f>H9/H5</f>
        <v/>
      </c>
      <c r="I10" s="10">
        <f>I9/I5</f>
        <v/>
      </c>
      <c r="J10" s="10">
        <f>J9/J5</f>
        <v/>
      </c>
      <c r="K10" s="10">
        <f>K9/K5</f>
        <v/>
      </c>
      <c r="L10" s="10">
        <f>L9/L5</f>
        <v/>
      </c>
    </row>
    <row r="12">
      <c r="A12" s="6" t="inlineStr">
        <is>
          <t>Operating expenses</t>
        </is>
      </c>
    </row>
    <row r="13">
      <c r="A13" t="inlineStr">
        <is>
          <t xml:space="preserve">  Taxes &amp; surcharges</t>
        </is>
      </c>
      <c r="B13" s="7" t="n">
        <v>72.09999999999999</v>
      </c>
      <c r="C13" s="7" t="n">
        <v>77.90000000000001</v>
      </c>
      <c r="D13" s="7" t="n">
        <v>71</v>
      </c>
      <c r="E13" s="7" t="n">
        <v>81.7</v>
      </c>
      <c r="F13" s="7" t="n">
        <v>90</v>
      </c>
      <c r="G13" s="7" t="n">
        <v>108.9</v>
      </c>
      <c r="H13" s="16">
        <f>H5*0.01</f>
        <v/>
      </c>
      <c r="I13" s="16">
        <f>I5*0.01</f>
        <v/>
      </c>
      <c r="J13" s="16">
        <f>J5*0.01</f>
        <v/>
      </c>
      <c r="K13" s="16">
        <f>K5*0.01</f>
        <v/>
      </c>
      <c r="L13" s="16">
        <f>L5*0.01</f>
        <v/>
      </c>
    </row>
    <row r="14">
      <c r="A14" t="inlineStr">
        <is>
          <t xml:space="preserve">  Selling expense</t>
        </is>
      </c>
      <c r="B14" s="7" t="n">
        <v>106.9</v>
      </c>
      <c r="C14" s="7" t="n">
        <v>111.9</v>
      </c>
      <c r="D14" s="7" t="n">
        <v>123.6</v>
      </c>
      <c r="E14" s="7" t="n">
        <v>185.7</v>
      </c>
      <c r="F14" s="7" t="n">
        <v>217.1</v>
      </c>
      <c r="G14" s="7" t="n">
        <v>254.5</v>
      </c>
      <c r="H14" s="16">
        <f>H5*0.024</f>
        <v/>
      </c>
      <c r="I14" s="16">
        <f>I5*0.024</f>
        <v/>
      </c>
      <c r="J14" s="16">
        <f>J5*0.023</f>
        <v/>
      </c>
      <c r="K14" s="16">
        <f>K5*0.023</f>
        <v/>
      </c>
      <c r="L14" s="16">
        <f>L5*0.023</f>
        <v/>
      </c>
    </row>
    <row r="15">
      <c r="A15" s="9" t="inlineStr">
        <is>
          <t xml:space="preserve">      % of revenue</t>
        </is>
      </c>
      <c r="B15" s="10">
        <f>B14/B5</f>
        <v/>
      </c>
      <c r="C15" s="10">
        <f>C14/C5</f>
        <v/>
      </c>
      <c r="D15" s="10">
        <f>D14/D5</f>
        <v/>
      </c>
      <c r="E15" s="10">
        <f>E14/E5</f>
        <v/>
      </c>
      <c r="F15" s="10">
        <f>F14/F5</f>
        <v/>
      </c>
      <c r="G15" s="10">
        <f>G14/G5</f>
        <v/>
      </c>
      <c r="H15" s="10">
        <f>H14/H5</f>
        <v/>
      </c>
      <c r="I15" s="10">
        <f>I14/I5</f>
        <v/>
      </c>
      <c r="J15" s="10">
        <f>J14/J5</f>
        <v/>
      </c>
      <c r="K15" s="10">
        <f>K14/K5</f>
        <v/>
      </c>
      <c r="L15" s="10">
        <f>L14/L5</f>
        <v/>
      </c>
    </row>
    <row r="16">
      <c r="A16" t="inlineStr">
        <is>
          <t xml:space="preserve">  G&amp;A expense</t>
        </is>
      </c>
      <c r="B16" s="7" t="n">
        <v>200</v>
      </c>
      <c r="C16" s="7" t="n">
        <v>226.9</v>
      </c>
      <c r="D16" s="7" t="n">
        <v>275.3</v>
      </c>
      <c r="E16" s="7" t="n">
        <v>404.4</v>
      </c>
      <c r="F16" s="7" t="n">
        <v>591.8</v>
      </c>
      <c r="G16" s="7" t="n">
        <v>649.3</v>
      </c>
      <c r="H16" s="16">
        <f>H5*0.06</f>
        <v/>
      </c>
      <c r="I16" s="16">
        <f>I5*0.058</f>
        <v/>
      </c>
      <c r="J16" s="16">
        <f>J5*0.055</f>
        <v/>
      </c>
      <c r="K16" s="16">
        <f>K5*0.053</f>
        <v/>
      </c>
      <c r="L16" s="16">
        <f>L5*0.052</f>
        <v/>
      </c>
    </row>
    <row r="17">
      <c r="A17" s="9" t="inlineStr">
        <is>
          <t xml:space="preserve">      % of revenue</t>
        </is>
      </c>
      <c r="B17" s="10">
        <f>B16/B5</f>
        <v/>
      </c>
      <c r="C17" s="10">
        <f>C16/C5</f>
        <v/>
      </c>
      <c r="D17" s="10">
        <f>D16/D5</f>
        <v/>
      </c>
      <c r="E17" s="10">
        <f>E16/E5</f>
        <v/>
      </c>
      <c r="F17" s="10">
        <f>F16/F5</f>
        <v/>
      </c>
      <c r="G17" s="10">
        <f>G16/G5</f>
        <v/>
      </c>
      <c r="H17" s="10">
        <f>H16/H5</f>
        <v/>
      </c>
      <c r="I17" s="10">
        <f>I16/I5</f>
        <v/>
      </c>
      <c r="J17" s="10">
        <f>J16/J5</f>
        <v/>
      </c>
      <c r="K17" s="10">
        <f>K16/K5</f>
        <v/>
      </c>
      <c r="L17" s="10">
        <f>L16/L5</f>
        <v/>
      </c>
    </row>
    <row r="18">
      <c r="A18" t="inlineStr">
        <is>
          <t xml:space="preserve">  R&amp;D expense</t>
        </is>
      </c>
      <c r="B18" s="7" t="n">
        <v>308.6</v>
      </c>
      <c r="C18" s="7" t="n">
        <v>636.1</v>
      </c>
      <c r="D18" s="7" t="n">
        <v>650</v>
      </c>
      <c r="E18" s="7" t="n">
        <v>694.4</v>
      </c>
      <c r="F18" s="7" t="n">
        <v>727.7</v>
      </c>
      <c r="G18" s="7" t="n">
        <v>705</v>
      </c>
      <c r="H18" s="16">
        <f>H5*0.065</f>
        <v/>
      </c>
      <c r="I18" s="16">
        <f>I5*0.065</f>
        <v/>
      </c>
      <c r="J18" s="16">
        <f>J5*0.065</f>
        <v/>
      </c>
      <c r="K18" s="16">
        <f>K5*0.065</f>
        <v/>
      </c>
      <c r="L18" s="16">
        <f>L5*0.065</f>
        <v/>
      </c>
    </row>
    <row r="19">
      <c r="A19" s="9" t="inlineStr">
        <is>
          <t xml:space="preserve">      % of revenue</t>
        </is>
      </c>
      <c r="B19" s="10">
        <f>B18/B5</f>
        <v/>
      </c>
      <c r="C19" s="10">
        <f>C18/C5</f>
        <v/>
      </c>
      <c r="D19" s="10">
        <f>D18/D5</f>
        <v/>
      </c>
      <c r="E19" s="10">
        <f>E18/E5</f>
        <v/>
      </c>
      <c r="F19" s="10">
        <f>F18/F5</f>
        <v/>
      </c>
      <c r="G19" s="10">
        <f>G18/G5</f>
        <v/>
      </c>
      <c r="H19" s="10">
        <f>H18/H5</f>
        <v/>
      </c>
      <c r="I19" s="10">
        <f>I18/I5</f>
        <v/>
      </c>
      <c r="J19" s="10">
        <f>J18/J5</f>
        <v/>
      </c>
      <c r="K19" s="10">
        <f>K18/K5</f>
        <v/>
      </c>
      <c r="L19" s="10">
        <f>L18/L5</f>
        <v/>
      </c>
    </row>
    <row r="20">
      <c r="A20" t="inlineStr">
        <is>
          <t xml:space="preserve">  Financial expense (net interest)</t>
        </is>
      </c>
      <c r="B20" s="7" t="n">
        <v>151.3</v>
      </c>
      <c r="C20" s="7" t="n">
        <v>89.3</v>
      </c>
      <c r="D20" s="7" t="n">
        <v>-332.4</v>
      </c>
      <c r="E20" s="7" t="n">
        <v>-368.5</v>
      </c>
      <c r="F20" s="7" t="n">
        <v>-131.4</v>
      </c>
      <c r="G20" s="7" t="n">
        <v>5.9</v>
      </c>
      <c r="H20" s="16">
        <f>H5*0.0</f>
        <v/>
      </c>
      <c r="I20" s="16">
        <f>I5*0.0</f>
        <v/>
      </c>
      <c r="J20" s="16">
        <f>J5*-0.005</f>
        <v/>
      </c>
      <c r="K20" s="16">
        <f>K5*-0.005</f>
        <v/>
      </c>
      <c r="L20" s="16">
        <f>L5*-0.005</f>
        <v/>
      </c>
    </row>
    <row r="21">
      <c r="A21" s="2" t="inlineStr">
        <is>
          <t>Total operating expenses (incl. taxes &amp; financial)</t>
        </is>
      </c>
      <c r="B21" s="17">
        <f>B13+B14+B16+B18+B20</f>
        <v/>
      </c>
      <c r="C21" s="17">
        <f>C13+C14+C16+C18+C20</f>
        <v/>
      </c>
      <c r="D21" s="17">
        <f>D13+D14+D16+D18+D20</f>
        <v/>
      </c>
      <c r="E21" s="17">
        <f>E13+E14+E16+E18+E20</f>
        <v/>
      </c>
      <c r="F21" s="17">
        <f>F13+F14+F16+F18+F20</f>
        <v/>
      </c>
      <c r="G21" s="17">
        <f>G13+G14+G16+G18+G20</f>
        <v/>
      </c>
      <c r="H21" s="17">
        <f>H13+H14+H16+H18+H20</f>
        <v/>
      </c>
      <c r="I21" s="17">
        <f>I13+I14+I16+I18+I20</f>
        <v/>
      </c>
      <c r="J21" s="17">
        <f>J13+J14+J16+J18+J20</f>
        <v/>
      </c>
      <c r="K21" s="17">
        <f>K13+K14+K16+K18+K20</f>
        <v/>
      </c>
      <c r="L21" s="17">
        <f>L13+L14+L16+L18+L20</f>
        <v/>
      </c>
    </row>
    <row r="23">
      <c r="A23" s="6" t="inlineStr">
        <is>
          <t>Other operating items</t>
        </is>
      </c>
    </row>
    <row r="24">
      <c r="A24" t="inlineStr">
        <is>
          <t xml:space="preserve">  Other income (govt subsidies, R&amp;D credits)</t>
        </is>
      </c>
      <c r="B24" s="7" t="n">
        <v>60.8</v>
      </c>
      <c r="C24" s="7" t="n">
        <v>131.9</v>
      </c>
      <c r="D24" s="7" t="n">
        <v>104.9</v>
      </c>
      <c r="E24" s="7" t="n">
        <v>113</v>
      </c>
      <c r="F24" s="7" t="n">
        <v>124.3</v>
      </c>
      <c r="G24" s="7" t="n">
        <v>89</v>
      </c>
      <c r="H24" s="8" t="n">
        <v>100</v>
      </c>
      <c r="I24" s="8" t="n">
        <v>110</v>
      </c>
      <c r="J24" s="8" t="n">
        <v>120</v>
      </c>
      <c r="K24" s="8" t="n">
        <v>130</v>
      </c>
      <c r="L24" s="8" t="n">
        <v>140</v>
      </c>
    </row>
    <row r="25">
      <c r="A25" t="inlineStr">
        <is>
          <t xml:space="preserve">  Investment income (incl. JV, fund disposals)</t>
        </is>
      </c>
      <c r="B25" s="7" t="n">
        <v>10.6</v>
      </c>
      <c r="C25" s="7" t="n">
        <v>7</v>
      </c>
      <c r="D25" s="7" t="n">
        <v>13.9</v>
      </c>
      <c r="E25" s="7" t="n">
        <v>2</v>
      </c>
      <c r="F25" s="7" t="n">
        <v>-1.2</v>
      </c>
      <c r="G25" s="7" t="n">
        <v>176.4</v>
      </c>
      <c r="H25" s="8" t="n">
        <v>120</v>
      </c>
      <c r="I25" s="8" t="n">
        <v>100</v>
      </c>
      <c r="J25" s="8" t="n">
        <v>80</v>
      </c>
      <c r="K25" s="8" t="n">
        <v>80</v>
      </c>
      <c r="L25" s="8" t="n">
        <v>80</v>
      </c>
    </row>
    <row r="26">
      <c r="A26" t="inlineStr">
        <is>
          <t xml:space="preserve">  Fair value change (derivatives, hedges)</t>
        </is>
      </c>
      <c r="B26" s="7" t="n">
        <v>0</v>
      </c>
      <c r="C26" s="7" t="n">
        <v>10.3</v>
      </c>
      <c r="D26" s="7" t="n">
        <v>7.3</v>
      </c>
      <c r="E26" s="7" t="n">
        <v>0.7</v>
      </c>
      <c r="F26" s="7" t="n">
        <v>203.2</v>
      </c>
      <c r="G26" s="7" t="n">
        <v>92.40000000000001</v>
      </c>
      <c r="H26" s="8" t="n">
        <v>50</v>
      </c>
      <c r="I26" s="8" t="n">
        <v>30</v>
      </c>
      <c r="J26" s="8" t="n">
        <v>20</v>
      </c>
      <c r="K26" s="8" t="n">
        <v>20</v>
      </c>
      <c r="L26" s="8" t="n">
        <v>20</v>
      </c>
    </row>
    <row r="27">
      <c r="A27" t="inlineStr">
        <is>
          <t xml:space="preserve">  Credit impairment (receivables)</t>
        </is>
      </c>
      <c r="B27" s="7" t="n">
        <v>-37</v>
      </c>
      <c r="C27" s="7" t="n">
        <v>19.4</v>
      </c>
      <c r="D27" s="7" t="n">
        <v>9.5</v>
      </c>
      <c r="E27" s="7" t="n">
        <v>-12.1</v>
      </c>
      <c r="F27" s="7" t="n">
        <v>-12.9</v>
      </c>
      <c r="G27" s="7" t="n">
        <v>-33</v>
      </c>
      <c r="H27" s="8" t="n">
        <v>-40</v>
      </c>
      <c r="I27" s="8" t="n">
        <v>-45</v>
      </c>
      <c r="J27" s="8" t="n">
        <v>-50</v>
      </c>
      <c r="K27" s="8" t="n">
        <v>-55</v>
      </c>
      <c r="L27" s="8" t="n">
        <v>-60</v>
      </c>
    </row>
    <row r="28">
      <c r="A28" t="inlineStr">
        <is>
          <t xml:space="preserve">  Asset impairment (inventory, fixed)</t>
        </is>
      </c>
      <c r="B28" s="7" t="n">
        <v>-52.5</v>
      </c>
      <c r="C28" s="7" t="n">
        <v>-66.7</v>
      </c>
      <c r="D28" s="7" t="n">
        <v>-54.6</v>
      </c>
      <c r="E28" s="7" t="n">
        <v>-56.1</v>
      </c>
      <c r="F28" s="7" t="n">
        <v>-53.5</v>
      </c>
      <c r="G28" s="7" t="n">
        <v>-106.6</v>
      </c>
      <c r="H28" s="8" t="n">
        <v>-100</v>
      </c>
      <c r="I28" s="8" t="n">
        <v>-110</v>
      </c>
      <c r="J28" s="8" t="n">
        <v>-115</v>
      </c>
      <c r="K28" s="8" t="n">
        <v>-120</v>
      </c>
      <c r="L28" s="8" t="n">
        <v>-125</v>
      </c>
    </row>
    <row r="29">
      <c r="A29" t="inlineStr">
        <is>
          <t xml:space="preserve">  Asset disposal gain/(loss)</t>
        </is>
      </c>
      <c r="B29" s="7" t="n">
        <v>-0.8</v>
      </c>
      <c r="C29" s="7" t="n">
        <v>-0.7</v>
      </c>
      <c r="D29" s="7" t="n">
        <v>0.3</v>
      </c>
      <c r="E29" s="7" t="n">
        <v>0.3</v>
      </c>
      <c r="F29" s="7" t="n">
        <v>0.2</v>
      </c>
      <c r="G29" s="7" t="n">
        <v>0.1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</row>
    <row r="31">
      <c r="A31" s="12" t="inlineStr">
        <is>
          <t>Operating profit (营业利润)</t>
        </is>
      </c>
      <c r="B31" s="14">
        <f>B9-B21+B24+B25+B26+B27+B28+B29</f>
        <v/>
      </c>
      <c r="C31" s="14">
        <f>C9-C21+C24+C25+C26+C27+C28+C29</f>
        <v/>
      </c>
      <c r="D31" s="14">
        <f>D9-D21+D24+D25+D26+D27+D28+D29</f>
        <v/>
      </c>
      <c r="E31" s="14">
        <f>E9-E21+E24+E25+E26+E27+E28+E29</f>
        <v/>
      </c>
      <c r="F31" s="14">
        <f>F9-F21+F24+F25+F26+F27+F28+F29</f>
        <v/>
      </c>
      <c r="G31" s="14">
        <f>G9-G21+G24+G25+G26+G27+G28+G29</f>
        <v/>
      </c>
      <c r="H31" s="14">
        <f>H9-H21+H24+H25+H26+H27+H28+H29</f>
        <v/>
      </c>
      <c r="I31" s="14">
        <f>I9-I21+I24+I25+I26+I27+I28+I29</f>
        <v/>
      </c>
      <c r="J31" s="14">
        <f>J9-J21+J24+J25+J26+J27+J28+J29</f>
        <v/>
      </c>
      <c r="K31" s="14">
        <f>K9-K21+K24+K25+K26+K27+K28+K29</f>
        <v/>
      </c>
      <c r="L31" s="14">
        <f>L9-L21+L24+L25+L26+L27+L28+L29</f>
        <v/>
      </c>
    </row>
    <row r="32">
      <c r="A32" s="9" t="inlineStr">
        <is>
          <t xml:space="preserve">    Operating margin %</t>
        </is>
      </c>
      <c r="B32" s="10">
        <f>B31/B5</f>
        <v/>
      </c>
      <c r="C32" s="10">
        <f>C31/C5</f>
        <v/>
      </c>
      <c r="D32" s="10">
        <f>D31/D5</f>
        <v/>
      </c>
      <c r="E32" s="10">
        <f>E31/E5</f>
        <v/>
      </c>
      <c r="F32" s="10">
        <f>F31/F5</f>
        <v/>
      </c>
      <c r="G32" s="10">
        <f>G31/G5</f>
        <v/>
      </c>
      <c r="H32" s="10">
        <f>H31/H5</f>
        <v/>
      </c>
      <c r="I32" s="10">
        <f>I31/I5</f>
        <v/>
      </c>
      <c r="J32" s="10">
        <f>J31/J5</f>
        <v/>
      </c>
      <c r="K32" s="10">
        <f>K31/K5</f>
        <v/>
      </c>
      <c r="L32" s="10">
        <f>L31/L5</f>
        <v/>
      </c>
    </row>
    <row r="34">
      <c r="A34" s="6" t="inlineStr">
        <is>
          <t>EBITDA bridge</t>
        </is>
      </c>
    </row>
    <row r="35">
      <c r="A35" t="inlineStr">
        <is>
          <t xml:space="preserve">  + Depreciation &amp; amortization</t>
        </is>
      </c>
      <c r="B35" s="7" t="n">
        <v>320</v>
      </c>
      <c r="C35" s="7" t="n">
        <v>360</v>
      </c>
      <c r="D35" s="7" t="n">
        <v>410</v>
      </c>
      <c r="E35" s="7" t="n">
        <v>480</v>
      </c>
      <c r="F35" s="7" t="n">
        <v>540</v>
      </c>
      <c r="G35" s="7" t="n">
        <v>620</v>
      </c>
      <c r="H35" s="8" t="n">
        <v>720</v>
      </c>
      <c r="I35" s="8" t="n">
        <v>820</v>
      </c>
      <c r="J35" s="8" t="n">
        <v>920</v>
      </c>
      <c r="K35" s="8" t="n">
        <v>1010</v>
      </c>
      <c r="L35" s="8" t="n">
        <v>1090</v>
      </c>
    </row>
    <row r="36">
      <c r="A36" t="inlineStr">
        <is>
          <t xml:space="preserve">  + Net interest (add back if income, subtract if expense)</t>
        </is>
      </c>
      <c r="B36" s="11">
        <f>-B20</f>
        <v/>
      </c>
      <c r="C36" s="11">
        <f>-C20</f>
        <v/>
      </c>
      <c r="D36" s="11">
        <f>-D20</f>
        <v/>
      </c>
      <c r="E36" s="11">
        <f>-E20</f>
        <v/>
      </c>
      <c r="F36" s="11">
        <f>-F20</f>
        <v/>
      </c>
      <c r="G36" s="11">
        <f>-G20</f>
        <v/>
      </c>
      <c r="H36" s="11">
        <f>-H20</f>
        <v/>
      </c>
      <c r="I36" s="11">
        <f>-I20</f>
        <v/>
      </c>
      <c r="J36" s="11">
        <f>-J20</f>
        <v/>
      </c>
      <c r="K36" s="11">
        <f>-K20</f>
        <v/>
      </c>
      <c r="L36" s="11">
        <f>-L20</f>
        <v/>
      </c>
    </row>
    <row r="37">
      <c r="A37" s="2" t="inlineStr">
        <is>
          <t>EBIT (= Op profit + net interest)</t>
        </is>
      </c>
      <c r="B37" s="17">
        <f>B31+B36</f>
        <v/>
      </c>
      <c r="C37" s="17">
        <f>C31+C36</f>
        <v/>
      </c>
      <c r="D37" s="17">
        <f>D31+D36</f>
        <v/>
      </c>
      <c r="E37" s="17">
        <f>E31+E36</f>
        <v/>
      </c>
      <c r="F37" s="17">
        <f>F31+F36</f>
        <v/>
      </c>
      <c r="G37" s="17">
        <f>G31+G36</f>
        <v/>
      </c>
      <c r="H37" s="17">
        <f>H31+H36</f>
        <v/>
      </c>
      <c r="I37" s="17">
        <f>I31+I36</f>
        <v/>
      </c>
      <c r="J37" s="17">
        <f>J31+J36</f>
        <v/>
      </c>
      <c r="K37" s="17">
        <f>K31+K36</f>
        <v/>
      </c>
      <c r="L37" s="17">
        <f>L31+L36</f>
        <v/>
      </c>
    </row>
    <row r="38">
      <c r="A38" s="9" t="inlineStr">
        <is>
          <t xml:space="preserve">    EBIT margin %</t>
        </is>
      </c>
      <c r="B38" s="10">
        <f>B37/B5</f>
        <v/>
      </c>
      <c r="C38" s="10">
        <f>C37/C5</f>
        <v/>
      </c>
      <c r="D38" s="10">
        <f>D37/D5</f>
        <v/>
      </c>
      <c r="E38" s="10">
        <f>E37/E5</f>
        <v/>
      </c>
      <c r="F38" s="10">
        <f>F37/F5</f>
        <v/>
      </c>
      <c r="G38" s="10">
        <f>G37/G5</f>
        <v/>
      </c>
      <c r="H38" s="10">
        <f>H37/H5</f>
        <v/>
      </c>
      <c r="I38" s="10">
        <f>I37/I5</f>
        <v/>
      </c>
      <c r="J38" s="10">
        <f>J37/J5</f>
        <v/>
      </c>
      <c r="K38" s="10">
        <f>K37/K5</f>
        <v/>
      </c>
      <c r="L38" s="10">
        <f>L37/L5</f>
        <v/>
      </c>
    </row>
    <row r="39">
      <c r="A39" s="2" t="inlineStr">
        <is>
          <t>EBITDA (= EBIT + D&amp;A)</t>
        </is>
      </c>
      <c r="B39" s="17">
        <f>B37+B35</f>
        <v/>
      </c>
      <c r="C39" s="17">
        <f>C37+C35</f>
        <v/>
      </c>
      <c r="D39" s="17">
        <f>D37+D35</f>
        <v/>
      </c>
      <c r="E39" s="17">
        <f>E37+E35</f>
        <v/>
      </c>
      <c r="F39" s="17">
        <f>F37+F35</f>
        <v/>
      </c>
      <c r="G39" s="17">
        <f>G37+G35</f>
        <v/>
      </c>
      <c r="H39" s="17">
        <f>H37+H35</f>
        <v/>
      </c>
      <c r="I39" s="17">
        <f>I37+I35</f>
        <v/>
      </c>
      <c r="J39" s="17">
        <f>J37+J35</f>
        <v/>
      </c>
      <c r="K39" s="17">
        <f>K37+K35</f>
        <v/>
      </c>
      <c r="L39" s="17">
        <f>L37+L35</f>
        <v/>
      </c>
    </row>
    <row r="40">
      <c r="A40" s="9" t="inlineStr">
        <is>
          <t xml:space="preserve">    EBITDA margin %</t>
        </is>
      </c>
      <c r="B40" s="10">
        <f>B39/B5</f>
        <v/>
      </c>
      <c r="C40" s="10">
        <f>C39/C5</f>
        <v/>
      </c>
      <c r="D40" s="10">
        <f>D39/D5</f>
        <v/>
      </c>
      <c r="E40" s="10">
        <f>E39/E5</f>
        <v/>
      </c>
      <c r="F40" s="10">
        <f>F39/F5</f>
        <v/>
      </c>
      <c r="G40" s="10">
        <f>G39/G5</f>
        <v/>
      </c>
      <c r="H40" s="10">
        <f>H39/H5</f>
        <v/>
      </c>
      <c r="I40" s="10">
        <f>I39/I5</f>
        <v/>
      </c>
      <c r="J40" s="10">
        <f>J39/J5</f>
        <v/>
      </c>
      <c r="K40" s="10">
        <f>K39/K5</f>
        <v/>
      </c>
      <c r="L40" s="10">
        <f>L39/L5</f>
        <v/>
      </c>
    </row>
    <row r="42">
      <c r="A42" t="inlineStr">
        <is>
          <t xml:space="preserve">  Non-operating income</t>
        </is>
      </c>
      <c r="B42" s="7" t="n">
        <v>4.7</v>
      </c>
      <c r="C42" s="7" t="n">
        <v>13.4</v>
      </c>
      <c r="D42" s="7" t="n">
        <v>12.7</v>
      </c>
      <c r="E42" s="7" t="n">
        <v>17.5</v>
      </c>
      <c r="F42" s="7" t="n">
        <v>16.6</v>
      </c>
      <c r="G42" s="7" t="n">
        <v>16.4</v>
      </c>
      <c r="H42" s="8" t="n">
        <v>15</v>
      </c>
      <c r="I42" s="8" t="n">
        <v>15</v>
      </c>
      <c r="J42" s="8" t="n">
        <v>15</v>
      </c>
      <c r="K42" s="8" t="n">
        <v>15</v>
      </c>
      <c r="L42" s="8" t="n">
        <v>15</v>
      </c>
    </row>
    <row r="43">
      <c r="A43" t="inlineStr">
        <is>
          <t xml:space="preserve">  Non-operating expense</t>
        </is>
      </c>
      <c r="B43" s="7" t="n">
        <v>1.7</v>
      </c>
      <c r="C43" s="7" t="n">
        <v>1.5</v>
      </c>
      <c r="D43" s="7" t="n">
        <v>1.9</v>
      </c>
      <c r="E43" s="7" t="n">
        <v>2.3</v>
      </c>
      <c r="F43" s="7" t="n">
        <v>2.6</v>
      </c>
      <c r="G43" s="7" t="n">
        <v>28.1</v>
      </c>
      <c r="H43" s="8" t="n">
        <v>10</v>
      </c>
      <c r="I43" s="8" t="n">
        <v>10</v>
      </c>
      <c r="J43" s="8" t="n">
        <v>10</v>
      </c>
      <c r="K43" s="8" t="n">
        <v>10</v>
      </c>
      <c r="L43" s="8" t="n">
        <v>10</v>
      </c>
    </row>
    <row r="44">
      <c r="A44" s="2" t="inlineStr">
        <is>
          <t>Pre-tax income (利润总额)</t>
        </is>
      </c>
      <c r="B44" s="17">
        <f>B31+B42-B43</f>
        <v/>
      </c>
      <c r="C44" s="17">
        <f>C31+C42-C43</f>
        <v/>
      </c>
      <c r="D44" s="17">
        <f>D31+D42-D43</f>
        <v/>
      </c>
      <c r="E44" s="17">
        <f>E31+E42-E43</f>
        <v/>
      </c>
      <c r="F44" s="17">
        <f>F31+F42-F43</f>
        <v/>
      </c>
      <c r="G44" s="17">
        <f>G31+G42-G43</f>
        <v/>
      </c>
      <c r="H44" s="17">
        <f>H31+H42-H43</f>
        <v/>
      </c>
      <c r="I44" s="17">
        <f>I31+I42-I43</f>
        <v/>
      </c>
      <c r="J44" s="17">
        <f>J31+J42-J43</f>
        <v/>
      </c>
      <c r="K44" s="17">
        <f>K31+K42-K43</f>
        <v/>
      </c>
      <c r="L44" s="17">
        <f>L31+L42-L43</f>
        <v/>
      </c>
    </row>
    <row r="45">
      <c r="A45" t="inlineStr">
        <is>
          <t xml:space="preserve">  Income tax expense</t>
        </is>
      </c>
      <c r="B45" s="7" t="n">
        <v>347.9</v>
      </c>
      <c r="C45" s="7" t="n">
        <v>369.3</v>
      </c>
      <c r="D45" s="7" t="n">
        <v>279.8</v>
      </c>
      <c r="E45" s="7" t="n">
        <v>326.3</v>
      </c>
      <c r="F45" s="7" t="n">
        <v>288.1</v>
      </c>
      <c r="G45" s="7" t="n">
        <v>292.3</v>
      </c>
      <c r="H45" s="16">
        <f>H44*0.115</f>
        <v/>
      </c>
      <c r="I45" s="16">
        <f>I44*0.115</f>
        <v/>
      </c>
      <c r="J45" s="16">
        <f>J44*0.12</f>
        <v/>
      </c>
      <c r="K45" s="16">
        <f>K44*0.12</f>
        <v/>
      </c>
      <c r="L45" s="16">
        <f>L44*0.125</f>
        <v/>
      </c>
    </row>
    <row r="46">
      <c r="A46" s="9" t="inlineStr">
        <is>
          <t xml:space="preserve">      Effective tax rate %</t>
        </is>
      </c>
      <c r="B46" s="10">
        <f>B45/B44</f>
        <v/>
      </c>
      <c r="C46" s="10">
        <f>C45/C44</f>
        <v/>
      </c>
      <c r="D46" s="10">
        <f>D45/D44</f>
        <v/>
      </c>
      <c r="E46" s="10">
        <f>E45/E44</f>
        <v/>
      </c>
      <c r="F46" s="10">
        <f>F45/F44</f>
        <v/>
      </c>
      <c r="G46" s="10">
        <f>G45/G44</f>
        <v/>
      </c>
      <c r="H46" s="10">
        <f>H45/H44</f>
        <v/>
      </c>
      <c r="I46" s="10">
        <f>I45/I44</f>
        <v/>
      </c>
      <c r="J46" s="10">
        <f>J45/J44</f>
        <v/>
      </c>
      <c r="K46" s="10">
        <f>K45/K44</f>
        <v/>
      </c>
      <c r="L46" s="10">
        <f>L45/L44</f>
        <v/>
      </c>
    </row>
    <row r="48">
      <c r="A48" s="12" t="inlineStr">
        <is>
          <t>Net income (净利润)</t>
        </is>
      </c>
      <c r="B48" s="14">
        <f>B44-B45</f>
        <v/>
      </c>
      <c r="C48" s="14">
        <f>C44-C45</f>
        <v/>
      </c>
      <c r="D48" s="14">
        <f>D44-D45</f>
        <v/>
      </c>
      <c r="E48" s="14">
        <f>E44-E45</f>
        <v/>
      </c>
      <c r="F48" s="14">
        <f>F44-F45</f>
        <v/>
      </c>
      <c r="G48" s="14">
        <f>G44-G45</f>
        <v/>
      </c>
      <c r="H48" s="14">
        <f>H44-H45</f>
        <v/>
      </c>
      <c r="I48" s="14">
        <f>I44-I45</f>
        <v/>
      </c>
      <c r="J48" s="14">
        <f>J44-J45</f>
        <v/>
      </c>
      <c r="K48" s="14">
        <f>K44-K45</f>
        <v/>
      </c>
      <c r="L48" s="14">
        <f>L44-L45</f>
        <v/>
      </c>
    </row>
    <row r="49">
      <c r="A49" s="9" t="inlineStr">
        <is>
          <t xml:space="preserve">    Net margin %</t>
        </is>
      </c>
      <c r="B49" s="10">
        <f>B48/B5</f>
        <v/>
      </c>
      <c r="C49" s="10">
        <f>C48/C5</f>
        <v/>
      </c>
      <c r="D49" s="10">
        <f>D48/D5</f>
        <v/>
      </c>
      <c r="E49" s="10">
        <f>E48/E5</f>
        <v/>
      </c>
      <c r="F49" s="10">
        <f>F48/F5</f>
        <v/>
      </c>
      <c r="G49" s="10">
        <f>G48/G5</f>
        <v/>
      </c>
      <c r="H49" s="10">
        <f>H48/H5</f>
        <v/>
      </c>
      <c r="I49" s="10">
        <f>I48/I5</f>
        <v/>
      </c>
      <c r="J49" s="10">
        <f>J48/J5</f>
        <v/>
      </c>
      <c r="K49" s="10">
        <f>K48/K5</f>
        <v/>
      </c>
      <c r="L49" s="10">
        <f>L48/L5</f>
        <v/>
      </c>
    </row>
    <row r="50">
      <c r="A50" t="inlineStr">
        <is>
          <t xml:space="preserve">  Less: minority interest</t>
        </is>
      </c>
      <c r="B50" s="7" t="n">
        <v>0</v>
      </c>
      <c r="C50" s="7" t="n">
        <v>0</v>
      </c>
      <c r="D50" s="7" t="n">
        <v>6.1</v>
      </c>
      <c r="E50" s="7" t="n">
        <v>5</v>
      </c>
      <c r="F50" s="7" t="n">
        <v>3.7</v>
      </c>
      <c r="G50" s="7" t="n">
        <v>5.6</v>
      </c>
      <c r="H50" s="8" t="n">
        <v>6</v>
      </c>
      <c r="I50" s="8" t="n">
        <v>7</v>
      </c>
      <c r="J50" s="8" t="n">
        <v>8</v>
      </c>
      <c r="K50" s="8" t="n">
        <v>9</v>
      </c>
      <c r="L50" s="8" t="n">
        <v>10</v>
      </c>
    </row>
    <row r="51">
      <c r="A51" s="2" t="inlineStr">
        <is>
          <t>Net income to parent (归母净利润)</t>
        </is>
      </c>
      <c r="B51" s="17">
        <f>B48-B50</f>
        <v/>
      </c>
      <c r="C51" s="17">
        <f>C48-C50</f>
        <v/>
      </c>
      <c r="D51" s="17">
        <f>D48-D50</f>
        <v/>
      </c>
      <c r="E51" s="17">
        <f>E48-E50</f>
        <v/>
      </c>
      <c r="F51" s="17">
        <f>F48-F50</f>
        <v/>
      </c>
      <c r="G51" s="17">
        <f>G48-G50</f>
        <v/>
      </c>
      <c r="H51" s="17">
        <f>H48-H50</f>
        <v/>
      </c>
      <c r="I51" s="17">
        <f>I48-I50</f>
        <v/>
      </c>
      <c r="J51" s="17">
        <f>J48-J50</f>
        <v/>
      </c>
      <c r="K51" s="17">
        <f>K48-K50</f>
        <v/>
      </c>
      <c r="L51" s="17">
        <f>L48-L50</f>
        <v/>
      </c>
    </row>
    <row r="53">
      <c r="A53" t="inlineStr">
        <is>
          <t xml:space="preserve">  Shares outstanding — basic (million)</t>
        </is>
      </c>
      <c r="B53" s="7" t="n">
        <v>1305.4</v>
      </c>
      <c r="C53" s="7" t="n">
        <v>1305.4</v>
      </c>
      <c r="D53" s="7" t="n">
        <v>1305.4</v>
      </c>
      <c r="E53" s="7" t="n">
        <v>1340.8</v>
      </c>
      <c r="F53" s="7" t="n">
        <v>1340.8</v>
      </c>
      <c r="G53" s="7" t="n">
        <v>1340.8</v>
      </c>
      <c r="H53" s="8" t="n">
        <v>1340.8</v>
      </c>
      <c r="I53" s="8" t="n">
        <v>1340.8</v>
      </c>
      <c r="J53" s="8" t="n">
        <v>1340.8</v>
      </c>
      <c r="K53" s="8" t="n">
        <v>1340.8</v>
      </c>
      <c r="L53" s="8" t="n">
        <v>1340.8</v>
      </c>
    </row>
    <row r="54">
      <c r="A54" t="inlineStr">
        <is>
          <t xml:space="preserve">  Shares — diluted (million)</t>
        </is>
      </c>
      <c r="B54" s="11">
        <f>B53</f>
        <v/>
      </c>
      <c r="C54" s="11">
        <f>C53</f>
        <v/>
      </c>
      <c r="D54" s="11">
        <f>D53</f>
        <v/>
      </c>
      <c r="E54" s="11">
        <f>E53</f>
        <v/>
      </c>
      <c r="F54" s="11">
        <f>F53</f>
        <v/>
      </c>
      <c r="G54" s="11">
        <f>G53</f>
        <v/>
      </c>
      <c r="H54" s="11">
        <f>H53</f>
        <v/>
      </c>
      <c r="I54" s="11">
        <f>I53</f>
        <v/>
      </c>
      <c r="J54" s="11">
        <f>J53</f>
        <v/>
      </c>
      <c r="K54" s="11">
        <f>K53</f>
        <v/>
      </c>
      <c r="L54" s="11">
        <f>L53</f>
        <v/>
      </c>
    </row>
    <row r="55">
      <c r="A55" s="2" t="inlineStr">
        <is>
          <t>Basic EPS (RMB/share)</t>
        </is>
      </c>
      <c r="B55" s="18">
        <f>B51/B53</f>
        <v/>
      </c>
      <c r="C55" s="18">
        <f>C51/C53</f>
        <v/>
      </c>
      <c r="D55" s="18">
        <f>D51/D53</f>
        <v/>
      </c>
      <c r="E55" s="18">
        <f>E51/E53</f>
        <v/>
      </c>
      <c r="F55" s="18">
        <f>F51/F53</f>
        <v/>
      </c>
      <c r="G55" s="18">
        <f>G51/G53</f>
        <v/>
      </c>
      <c r="H55" s="18">
        <f>H51/H53</f>
        <v/>
      </c>
      <c r="I55" s="18">
        <f>I51/I53</f>
        <v/>
      </c>
      <c r="J55" s="18">
        <f>J51/J53</f>
        <v/>
      </c>
      <c r="K55" s="18">
        <f>K51/K53</f>
        <v/>
      </c>
      <c r="L55" s="18">
        <f>L51/L53</f>
        <v/>
      </c>
    </row>
    <row r="56">
      <c r="A56" s="9" t="inlineStr">
        <is>
          <t xml:space="preserve">  Diluted EPS (RMB/share)</t>
        </is>
      </c>
      <c r="B56" s="19">
        <f>B51/B54</f>
        <v/>
      </c>
      <c r="C56" s="19">
        <f>C51/C54</f>
        <v/>
      </c>
      <c r="D56" s="19">
        <f>D51/D54</f>
        <v/>
      </c>
      <c r="E56" s="19">
        <f>E51/E54</f>
        <v/>
      </c>
      <c r="F56" s="19">
        <f>F51/F54</f>
        <v/>
      </c>
      <c r="G56" s="19">
        <f>G51/G54</f>
        <v/>
      </c>
      <c r="H56" s="19">
        <f>H51/H54</f>
        <v/>
      </c>
      <c r="I56" s="19">
        <f>I51/I54</f>
        <v/>
      </c>
      <c r="J56" s="19">
        <f>J51/J54</f>
        <v/>
      </c>
      <c r="K56" s="19">
        <f>K51/K54</f>
        <v/>
      </c>
      <c r="L56" s="19">
        <f>L51/L54</f>
        <v/>
      </c>
    </row>
    <row r="58">
      <c r="A58" t="inlineStr">
        <is>
          <t xml:space="preserve">  Dividend per share (RMB)</t>
        </is>
      </c>
      <c r="B58" s="20" t="n">
        <v>0.31</v>
      </c>
      <c r="C58" s="20" t="n">
        <v>0.45</v>
      </c>
      <c r="D58" s="20" t="n">
        <v>0.55</v>
      </c>
      <c r="E58" s="20" t="n">
        <v>0.5600000000000001</v>
      </c>
      <c r="F58" s="20" t="n">
        <v>0.7</v>
      </c>
      <c r="G58" s="20" t="n">
        <v>0.5600000000000001</v>
      </c>
      <c r="H58" s="21" t="n">
        <v>0.6</v>
      </c>
      <c r="I58" s="21" t="n">
        <v>0.66</v>
      </c>
      <c r="J58" s="21" t="n">
        <v>0.72</v>
      </c>
      <c r="K58" s="21" t="n">
        <v>0.8</v>
      </c>
      <c r="L58" s="21" t="n">
        <v>0.88</v>
      </c>
    </row>
    <row r="59">
      <c r="A59" s="9" t="inlineStr">
        <is>
          <t xml:space="preserve">    Payout ratio %</t>
        </is>
      </c>
      <c r="B59" s="10">
        <f>B58*B53/B51</f>
        <v/>
      </c>
      <c r="C59" s="10">
        <f>C58*C53/C51</f>
        <v/>
      </c>
      <c r="D59" s="10">
        <f>D58*D53/D51</f>
        <v/>
      </c>
      <c r="E59" s="10">
        <f>E58*E53/E51</f>
        <v/>
      </c>
      <c r="F59" s="10">
        <f>F58*F53/F51</f>
        <v/>
      </c>
      <c r="G59" s="10">
        <f>G58*G53/G51</f>
        <v/>
      </c>
      <c r="H59" s="10">
        <f>H58*H53/H51</f>
        <v/>
      </c>
      <c r="I59" s="10">
        <f>I58*I53/I51</f>
        <v/>
      </c>
      <c r="J59" s="10">
        <f>J58*J53/J51</f>
        <v/>
      </c>
      <c r="K59" s="10">
        <f>K58*K53/K51</f>
        <v/>
      </c>
      <c r="L59" s="10">
        <f>L58*L53/L51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4" t="inlineStr">
        <is>
          <t>HENGLI HYDRAULICS — CONSOLIDATED CASH FLOW (RMB millions)</t>
        </is>
      </c>
    </row>
    <row r="3">
      <c r="B3" s="5" t="inlineStr">
        <is>
          <t>FY2020A</t>
        </is>
      </c>
      <c r="C3" s="5" t="inlineStr">
        <is>
          <t>FY2021A</t>
        </is>
      </c>
      <c r="D3" s="5" t="inlineStr">
        <is>
          <t>FY2022A</t>
        </is>
      </c>
      <c r="E3" s="5" t="inlineStr">
        <is>
          <t>FY2023A</t>
        </is>
      </c>
      <c r="F3" s="5" t="inlineStr">
        <is>
          <t>FY2024A</t>
        </is>
      </c>
      <c r="G3" s="5" t="inlineStr">
        <is>
          <t>FY2025A</t>
        </is>
      </c>
      <c r="H3" s="5" t="inlineStr">
        <is>
          <t>FY2026E</t>
        </is>
      </c>
      <c r="I3" s="5" t="inlineStr">
        <is>
          <t>FY2027E</t>
        </is>
      </c>
      <c r="J3" s="5" t="inlineStr">
        <is>
          <t>FY2028E</t>
        </is>
      </c>
      <c r="K3" s="5" t="inlineStr">
        <is>
          <t>FY2029E</t>
        </is>
      </c>
      <c r="L3" s="5" t="inlineStr">
        <is>
          <t>FY2030E</t>
        </is>
      </c>
    </row>
    <row r="5">
      <c r="A5" s="6" t="inlineStr">
        <is>
          <t>OPERATING ACTIVITIES</t>
        </is>
      </c>
    </row>
    <row r="6">
      <c r="A6" t="inlineStr">
        <is>
          <t xml:space="preserve">  Net income (from IS)</t>
        </is>
      </c>
      <c r="B6" s="15">
        <f>'Income Statement'!B48</f>
        <v/>
      </c>
      <c r="C6" s="15">
        <f>'Income Statement'!C48</f>
        <v/>
      </c>
      <c r="D6" s="15">
        <f>'Income Statement'!D48</f>
        <v/>
      </c>
      <c r="E6" s="15">
        <f>'Income Statement'!E48</f>
        <v/>
      </c>
      <c r="F6" s="15">
        <f>'Income Statement'!F48</f>
        <v/>
      </c>
      <c r="G6" s="15">
        <f>'Income Statement'!G48</f>
        <v/>
      </c>
      <c r="H6" s="15">
        <f>'Income Statement'!H48</f>
        <v/>
      </c>
      <c r="I6" s="15">
        <f>'Income Statement'!I48</f>
        <v/>
      </c>
      <c r="J6" s="15">
        <f>'Income Statement'!J48</f>
        <v/>
      </c>
      <c r="K6" s="15">
        <f>'Income Statement'!K48</f>
        <v/>
      </c>
      <c r="L6" s="15">
        <f>'Income Statement'!L48</f>
        <v/>
      </c>
    </row>
    <row r="7">
      <c r="A7" t="inlineStr">
        <is>
          <t xml:space="preserve">  + D&amp;A (from IS)</t>
        </is>
      </c>
      <c r="B7" s="15">
        <f>'Income Statement'!B35</f>
        <v/>
      </c>
      <c r="C7" s="15">
        <f>'Income Statement'!C35</f>
        <v/>
      </c>
      <c r="D7" s="15">
        <f>'Income Statement'!D35</f>
        <v/>
      </c>
      <c r="E7" s="15">
        <f>'Income Statement'!E35</f>
        <v/>
      </c>
      <c r="F7" s="15">
        <f>'Income Statement'!F35</f>
        <v/>
      </c>
      <c r="G7" s="15">
        <f>'Income Statement'!G35</f>
        <v/>
      </c>
      <c r="H7" s="15">
        <f>'Income Statement'!H35</f>
        <v/>
      </c>
      <c r="I7" s="15">
        <f>'Income Statement'!I35</f>
        <v/>
      </c>
      <c r="J7" s="15">
        <f>'Income Statement'!J35</f>
        <v/>
      </c>
      <c r="K7" s="15">
        <f>'Income Statement'!K35</f>
        <v/>
      </c>
      <c r="L7" s="15">
        <f>'Income Statement'!L35</f>
        <v/>
      </c>
    </row>
    <row r="8">
      <c r="A8" t="inlineStr">
        <is>
          <t xml:space="preserve">  + Working capital changes</t>
        </is>
      </c>
      <c r="B8" s="7" t="n">
        <v>-767.9</v>
      </c>
      <c r="C8" s="7" t="n">
        <v>-239.5</v>
      </c>
      <c r="D8" s="7" t="n">
        <v>-270.7</v>
      </c>
      <c r="E8" s="7" t="n">
        <v>125</v>
      </c>
      <c r="F8" s="7" t="n">
        <v>-167.8</v>
      </c>
      <c r="G8" s="7" t="n">
        <v>-1348.1</v>
      </c>
      <c r="H8" s="8" t="n">
        <v>-280</v>
      </c>
      <c r="I8" s="8" t="n">
        <v>-260</v>
      </c>
      <c r="J8" s="8" t="n">
        <v>-310</v>
      </c>
      <c r="K8" s="8" t="n">
        <v>-290</v>
      </c>
      <c r="L8" s="8" t="n">
        <v>-270</v>
      </c>
    </row>
    <row r="9">
      <c r="A9" t="inlineStr">
        <is>
          <t xml:space="preserve">  + Other non-cash adjustments (SBC, impair, taxes paid timing)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8" t="n">
        <v>80</v>
      </c>
      <c r="I9" s="8" t="n">
        <v>90</v>
      </c>
      <c r="J9" s="8" t="n">
        <v>100</v>
      </c>
      <c r="K9" s="8" t="n">
        <v>100</v>
      </c>
      <c r="L9" s="8" t="n">
        <v>100</v>
      </c>
    </row>
    <row r="10">
      <c r="A10" s="12" t="inlineStr">
        <is>
          <t>Cash from operations (CFO)</t>
        </is>
      </c>
      <c r="B10" s="22" t="n">
        <v>1980.6</v>
      </c>
      <c r="C10" s="22" t="n">
        <v>2795.7</v>
      </c>
      <c r="D10" s="22" t="n">
        <v>2063.6</v>
      </c>
      <c r="E10" s="22" t="n">
        <v>2677.1</v>
      </c>
      <c r="F10" s="22" t="n">
        <v>2479</v>
      </c>
      <c r="G10" s="22" t="n">
        <v>1810.9</v>
      </c>
      <c r="H10" s="14">
        <f>H6+H7+H8+H9</f>
        <v/>
      </c>
      <c r="I10" s="14">
        <f>I6+I7+I8+I9</f>
        <v/>
      </c>
      <c r="J10" s="14">
        <f>J6+J7+J8+J9</f>
        <v/>
      </c>
      <c r="K10" s="14">
        <f>K6+K7+K8+K9</f>
        <v/>
      </c>
      <c r="L10" s="14">
        <f>L6+L7+L8+L9</f>
        <v/>
      </c>
    </row>
    <row r="12">
      <c r="A12" s="6" t="inlineStr">
        <is>
          <t>INVESTING ACTIVITIES</t>
        </is>
      </c>
    </row>
    <row r="13">
      <c r="A13" t="inlineStr">
        <is>
          <t xml:space="preserve">  Capital expenditures (PP&amp;E + intangibles)</t>
        </is>
      </c>
      <c r="B13" s="7" t="n">
        <v>-401.1</v>
      </c>
      <c r="C13" s="7" t="n">
        <v>-562.4</v>
      </c>
      <c r="D13" s="7" t="n">
        <v>-798.8</v>
      </c>
      <c r="E13" s="7" t="n">
        <v>-1365.9</v>
      </c>
      <c r="F13" s="7" t="n">
        <v>-1071.4</v>
      </c>
      <c r="G13" s="7" t="n">
        <v>-924.2</v>
      </c>
      <c r="H13" s="16">
        <f>-'Income Statement'!H5*0.08</f>
        <v/>
      </c>
      <c r="I13" s="16">
        <f>-'Income Statement'!I5*0.07</f>
        <v/>
      </c>
      <c r="J13" s="16">
        <f>-'Income Statement'!J5*0.06</f>
        <v/>
      </c>
      <c r="K13" s="16">
        <f>-'Income Statement'!K5*0.055</f>
        <v/>
      </c>
      <c r="L13" s="16">
        <f>-'Income Statement'!L5*0.05</f>
        <v/>
      </c>
    </row>
    <row r="14">
      <c r="A14" t="inlineStr">
        <is>
          <t xml:space="preserve">  Other investing (financial-product purchases net, M&amp;A)</t>
        </is>
      </c>
      <c r="B14" s="7" t="n">
        <v>-261.9</v>
      </c>
      <c r="C14" s="7" t="n">
        <v>-370</v>
      </c>
      <c r="D14" s="7" t="n">
        <v>719.2</v>
      </c>
      <c r="E14" s="7" t="n">
        <v>-1685.4</v>
      </c>
      <c r="F14" s="7" t="n">
        <v>-2028.6</v>
      </c>
      <c r="G14" s="7" t="n">
        <v>66.8</v>
      </c>
      <c r="H14" s="8" t="n">
        <v>-200</v>
      </c>
      <c r="I14" s="8" t="n">
        <v>-150</v>
      </c>
      <c r="J14" s="8" t="n">
        <v>-100</v>
      </c>
      <c r="K14" s="8" t="n">
        <v>-100</v>
      </c>
      <c r="L14" s="8" t="n">
        <v>-100</v>
      </c>
    </row>
    <row r="15">
      <c r="A15" s="12" t="inlineStr">
        <is>
          <t>Cash from investing (CFI)</t>
        </is>
      </c>
      <c r="B15" s="14">
        <f>B13+B14</f>
        <v/>
      </c>
      <c r="C15" s="14">
        <f>C13+C14</f>
        <v/>
      </c>
      <c r="D15" s="14">
        <f>D13+D14</f>
        <v/>
      </c>
      <c r="E15" s="14">
        <f>E13+E14</f>
        <v/>
      </c>
      <c r="F15" s="14">
        <f>F13+F14</f>
        <v/>
      </c>
      <c r="G15" s="14">
        <f>G13+G14</f>
        <v/>
      </c>
      <c r="H15" s="14">
        <f>H13+H14</f>
        <v/>
      </c>
      <c r="I15" s="14">
        <f>I13+I14</f>
        <v/>
      </c>
      <c r="J15" s="14">
        <f>J13+J14</f>
        <v/>
      </c>
      <c r="K15" s="14">
        <f>K13+K14</f>
        <v/>
      </c>
      <c r="L15" s="14">
        <f>L13+L14</f>
        <v/>
      </c>
    </row>
    <row r="17">
      <c r="A17" s="12" t="inlineStr">
        <is>
          <t>FREE CASH FLOW (CFO - CapEx)</t>
        </is>
      </c>
      <c r="B17" s="23">
        <f>B10+B13</f>
        <v/>
      </c>
      <c r="C17" s="23">
        <f>C10+C13</f>
        <v/>
      </c>
      <c r="D17" s="23">
        <f>D10+D13</f>
        <v/>
      </c>
      <c r="E17" s="23">
        <f>E10+E13</f>
        <v/>
      </c>
      <c r="F17" s="23">
        <f>F10+F13</f>
        <v/>
      </c>
      <c r="G17" s="23">
        <f>G10+G13</f>
        <v/>
      </c>
      <c r="H17" s="23">
        <f>H10+H13</f>
        <v/>
      </c>
      <c r="I17" s="23">
        <f>I10+I13</f>
        <v/>
      </c>
      <c r="J17" s="23">
        <f>J10+J13</f>
        <v/>
      </c>
      <c r="K17" s="23">
        <f>K10+K13</f>
        <v/>
      </c>
      <c r="L17" s="23">
        <f>L10+L13</f>
        <v/>
      </c>
    </row>
    <row r="18">
      <c r="A18" s="9" t="inlineStr">
        <is>
          <t xml:space="preserve">    FCF margin %</t>
        </is>
      </c>
      <c r="B18" s="10">
        <f>B17/'Income Statement'!B5</f>
        <v/>
      </c>
      <c r="C18" s="10">
        <f>C17/'Income Statement'!C5</f>
        <v/>
      </c>
      <c r="D18" s="10">
        <f>D17/'Income Statement'!D5</f>
        <v/>
      </c>
      <c r="E18" s="10">
        <f>E17/'Income Statement'!E5</f>
        <v/>
      </c>
      <c r="F18" s="10">
        <f>F17/'Income Statement'!F5</f>
        <v/>
      </c>
      <c r="G18" s="10">
        <f>G17/'Income Statement'!G5</f>
        <v/>
      </c>
      <c r="H18" s="10">
        <f>H17/'Income Statement'!H5</f>
        <v/>
      </c>
      <c r="I18" s="10">
        <f>I17/'Income Statement'!I5</f>
        <v/>
      </c>
      <c r="J18" s="10">
        <f>J17/'Income Statement'!J5</f>
        <v/>
      </c>
      <c r="K18" s="10">
        <f>K17/'Income Statement'!K5</f>
        <v/>
      </c>
      <c r="L18" s="10">
        <f>L17/'Income Statement'!L5</f>
        <v/>
      </c>
    </row>
    <row r="20">
      <c r="A20" s="6" t="inlineStr">
        <is>
          <t>FINANCING ACTIVITIES</t>
        </is>
      </c>
    </row>
    <row r="21">
      <c r="A21" t="inlineStr">
        <is>
          <t xml:space="preserve">  Debt issuance / (repayment), net</t>
        </is>
      </c>
      <c r="B21" s="7" t="n">
        <v>-361.2</v>
      </c>
      <c r="C21" s="7" t="n">
        <v>-286.1</v>
      </c>
      <c r="D21" s="7" t="n">
        <v>-313.5</v>
      </c>
      <c r="E21" s="7" t="n">
        <v>-126.2</v>
      </c>
      <c r="F21" s="7" t="n">
        <v>-185</v>
      </c>
      <c r="G21" s="7" t="n">
        <v>43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</row>
    <row r="22">
      <c r="A22" t="inlineStr">
        <is>
          <t xml:space="preserve">  Dividends paid</t>
        </is>
      </c>
      <c r="B22" s="7" t="n">
        <v>-371.9</v>
      </c>
      <c r="C22" s="7" t="n">
        <v>-583</v>
      </c>
      <c r="D22" s="7" t="n">
        <v>-740.7</v>
      </c>
      <c r="E22" s="7" t="n">
        <v>-748.7</v>
      </c>
      <c r="F22" s="7" t="n">
        <v>-603.2</v>
      </c>
      <c r="G22" s="7" t="n">
        <v>-906.4</v>
      </c>
      <c r="H22" s="16">
        <f>-'Income Statement'!H58*'Income Statement'!H53</f>
        <v/>
      </c>
      <c r="I22" s="16">
        <f>-'Income Statement'!I58*'Income Statement'!I53</f>
        <v/>
      </c>
      <c r="J22" s="16">
        <f>-'Income Statement'!J58*'Income Statement'!J53</f>
        <v/>
      </c>
      <c r="K22" s="16">
        <f>-'Income Statement'!K58*'Income Statement'!K53</f>
        <v/>
      </c>
      <c r="L22" s="16">
        <f>-'Income Statement'!L58*'Income Statement'!L53</f>
        <v/>
      </c>
    </row>
    <row r="23">
      <c r="A23" t="inlineStr">
        <is>
          <t xml:space="preserve">  Other financing (incl. 2022 private placement RMB 2.0bn)</t>
        </is>
      </c>
      <c r="B23" s="7" t="n">
        <v>-85.2</v>
      </c>
      <c r="C23" s="7" t="n">
        <v>155.4</v>
      </c>
      <c r="D23" s="7" t="n">
        <v>2003.5</v>
      </c>
      <c r="E23" s="7" t="n">
        <v>-5.3</v>
      </c>
      <c r="F23" s="7" t="n">
        <v>0.5</v>
      </c>
      <c r="G23" s="7" t="n">
        <v>-0.6</v>
      </c>
      <c r="H23" s="8" t="n">
        <v>-50</v>
      </c>
      <c r="I23" s="8" t="n">
        <v>-50</v>
      </c>
      <c r="J23" s="8" t="n">
        <v>-50</v>
      </c>
      <c r="K23" s="8" t="n">
        <v>-50</v>
      </c>
      <c r="L23" s="8" t="n">
        <v>-50</v>
      </c>
    </row>
    <row r="24">
      <c r="A24" s="12" t="inlineStr">
        <is>
          <t>Cash from financing (CFF)</t>
        </is>
      </c>
      <c r="B24" s="14">
        <f>B21+B22+B23</f>
        <v/>
      </c>
      <c r="C24" s="14">
        <f>C21+C22+C23</f>
        <v/>
      </c>
      <c r="D24" s="14">
        <f>D21+D22+D23</f>
        <v/>
      </c>
      <c r="E24" s="14">
        <f>E21+E22+E23</f>
        <v/>
      </c>
      <c r="F24" s="14">
        <f>F21+F22+F23</f>
        <v/>
      </c>
      <c r="G24" s="14">
        <f>G21+G22+G23</f>
        <v/>
      </c>
      <c r="H24" s="14">
        <f>H21+H22+H23</f>
        <v/>
      </c>
      <c r="I24" s="14">
        <f>I21+I22+I23</f>
        <v/>
      </c>
      <c r="J24" s="14">
        <f>J21+J22+J23</f>
        <v/>
      </c>
      <c r="K24" s="14">
        <f>K21+K22+K23</f>
        <v/>
      </c>
      <c r="L24" s="14">
        <f>L21+L22+L23</f>
        <v/>
      </c>
    </row>
    <row r="26">
      <c r="A26" t="inlineStr">
        <is>
          <t xml:space="preserve">  FX impact on cash</t>
        </is>
      </c>
      <c r="B26" s="7" t="n">
        <v>-163.9</v>
      </c>
      <c r="C26" s="7" t="n">
        <v>-125</v>
      </c>
      <c r="D26" s="7" t="n">
        <v>326.5</v>
      </c>
      <c r="E26" s="7" t="n">
        <v>180.8</v>
      </c>
      <c r="F26" s="7" t="n">
        <v>-264.3</v>
      </c>
      <c r="G26" s="7" t="n">
        <v>-64.8</v>
      </c>
      <c r="H26" s="8" t="n">
        <v>-30</v>
      </c>
      <c r="I26" s="8" t="n">
        <v>-20</v>
      </c>
      <c r="J26" s="8" t="n">
        <v>-20</v>
      </c>
      <c r="K26" s="8" t="n">
        <v>-20</v>
      </c>
      <c r="L26" s="8" t="n">
        <v>-20</v>
      </c>
    </row>
    <row r="27">
      <c r="A27" s="2" t="inlineStr">
        <is>
          <t>Net change in cash</t>
        </is>
      </c>
      <c r="B27" s="17">
        <f>B10+B15+B24+B26</f>
        <v/>
      </c>
      <c r="C27" s="17">
        <f>C10+C15+C24+C26</f>
        <v/>
      </c>
      <c r="D27" s="17">
        <f>D10+D15+D24+D26</f>
        <v/>
      </c>
      <c r="E27" s="17">
        <f>E10+E15+E24+E26</f>
        <v/>
      </c>
      <c r="F27" s="17">
        <f>F10+F15+F24+F26</f>
        <v/>
      </c>
      <c r="G27" s="17">
        <f>G10+G15+G24+G26</f>
        <v/>
      </c>
      <c r="H27" s="17">
        <f>H10+H15+H24+H26</f>
        <v/>
      </c>
      <c r="I27" s="17">
        <f>I10+I15+I24+I26</f>
        <v/>
      </c>
      <c r="J27" s="17">
        <f>J10+J15+J24+J26</f>
        <v/>
      </c>
      <c r="K27" s="17">
        <f>K10+K15+K24+K26</f>
        <v/>
      </c>
      <c r="L27" s="17">
        <f>L10+L15+L24+L26</f>
        <v/>
      </c>
    </row>
    <row r="28">
      <c r="A28" t="inlineStr">
        <is>
          <t xml:space="preserve">  Beginning cash</t>
        </is>
      </c>
      <c r="B28" s="7" t="n">
        <v>2239</v>
      </c>
      <c r="C28" s="7" t="n">
        <v>2574.2</v>
      </c>
      <c r="D28" s="7" t="n">
        <v>3598.8</v>
      </c>
      <c r="E28" s="7" t="n">
        <v>6858.7</v>
      </c>
      <c r="F28" s="7" t="n">
        <v>5785.2</v>
      </c>
      <c r="G28" s="7" t="n">
        <v>4112.1</v>
      </c>
      <c r="H28" s="16">
        <f>G29</f>
        <v/>
      </c>
      <c r="I28" s="16">
        <f>H29</f>
        <v/>
      </c>
      <c r="J28" s="16">
        <f>I29</f>
        <v/>
      </c>
      <c r="K28" s="16">
        <f>J29</f>
        <v/>
      </c>
      <c r="L28" s="16">
        <f>K29</f>
        <v/>
      </c>
    </row>
    <row r="29">
      <c r="A29" s="2" t="inlineStr">
        <is>
          <t>Ending cash</t>
        </is>
      </c>
      <c r="B29" s="17">
        <f>B28+B27</f>
        <v/>
      </c>
      <c r="C29" s="17">
        <f>C28+C27</f>
        <v/>
      </c>
      <c r="D29" s="17">
        <f>D28+D27</f>
        <v/>
      </c>
      <c r="E29" s="17">
        <f>E28+E27</f>
        <v/>
      </c>
      <c r="F29" s="17">
        <f>F28+F27</f>
        <v/>
      </c>
      <c r="G29" s="17">
        <f>G28+G27</f>
        <v/>
      </c>
      <c r="H29" s="17">
        <f>H28+H27</f>
        <v/>
      </c>
      <c r="I29" s="17">
        <f>I28+I27</f>
        <v/>
      </c>
      <c r="J29" s="17">
        <f>J28+J27</f>
        <v/>
      </c>
      <c r="K29" s="17">
        <f>K28+K27</f>
        <v/>
      </c>
      <c r="L29" s="17">
        <f>L28+L27</f>
        <v/>
      </c>
    </row>
    <row r="30">
      <c r="A30" s="9" t="inlineStr">
        <is>
          <t>Memo: reported end cash (audited, where avail.)</t>
        </is>
      </c>
      <c r="B30" s="7" t="n">
        <v>2574.2</v>
      </c>
      <c r="C30" s="7" t="n">
        <v>3598.8</v>
      </c>
      <c r="D30" s="7" t="n">
        <v>6858.7</v>
      </c>
      <c r="E30" s="7" t="n">
        <v>5785.2</v>
      </c>
      <c r="F30" s="7" t="n">
        <v>4112.1</v>
      </c>
      <c r="G30" s="7" t="n">
        <v>4136.7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4" t="inlineStr">
        <is>
          <t>HENGLI HYDRAULICS — CONSOLIDATED BALANCE SHEET (RMB millions)</t>
        </is>
      </c>
    </row>
    <row r="3">
      <c r="B3" s="5" t="inlineStr">
        <is>
          <t>FY2020A</t>
        </is>
      </c>
      <c r="C3" s="5" t="inlineStr">
        <is>
          <t>FY2021A</t>
        </is>
      </c>
      <c r="D3" s="5" t="inlineStr">
        <is>
          <t>FY2022A</t>
        </is>
      </c>
      <c r="E3" s="5" t="inlineStr">
        <is>
          <t>FY2023A</t>
        </is>
      </c>
      <c r="F3" s="5" t="inlineStr">
        <is>
          <t>FY2024A</t>
        </is>
      </c>
      <c r="G3" s="5" t="inlineStr">
        <is>
          <t>FY2025A</t>
        </is>
      </c>
      <c r="H3" s="5" t="inlineStr">
        <is>
          <t>FY2026E</t>
        </is>
      </c>
      <c r="I3" s="5" t="inlineStr">
        <is>
          <t>FY2027E</t>
        </is>
      </c>
      <c r="J3" s="5" t="inlineStr">
        <is>
          <t>FY2028E</t>
        </is>
      </c>
      <c r="K3" s="5" t="inlineStr">
        <is>
          <t>FY2029E</t>
        </is>
      </c>
      <c r="L3" s="5" t="inlineStr">
        <is>
          <t>FY2030E</t>
        </is>
      </c>
    </row>
    <row r="5">
      <c r="A5" s="6" t="inlineStr">
        <is>
          <t>ASSETS</t>
        </is>
      </c>
    </row>
    <row r="6">
      <c r="A6" s="2" t="inlineStr">
        <is>
          <t>Current assets</t>
        </is>
      </c>
    </row>
    <row r="7">
      <c r="A7" t="inlineStr">
        <is>
          <t xml:space="preserve">    Cash &amp; equivalents</t>
        </is>
      </c>
      <c r="D7" s="7" t="n">
        <v>6886.2</v>
      </c>
      <c r="E7" s="7" t="n">
        <v>8124.3</v>
      </c>
      <c r="F7" s="7" t="n">
        <v>7882.8</v>
      </c>
      <c r="G7" s="7" t="n">
        <v>8871.4</v>
      </c>
      <c r="H7" s="16">
        <f>'Cash Flow'!H29+4734</f>
        <v/>
      </c>
      <c r="I7" s="16">
        <f>'Cash Flow'!I29+4734</f>
        <v/>
      </c>
      <c r="J7" s="16">
        <f>'Cash Flow'!J29+4734</f>
        <v/>
      </c>
      <c r="K7" s="16">
        <f>'Cash Flow'!K29+4734</f>
        <v/>
      </c>
      <c r="L7" s="16">
        <f>'Cash Flow'!L29+4734</f>
        <v/>
      </c>
    </row>
    <row r="8">
      <c r="A8" t="inlineStr">
        <is>
          <t xml:space="preserve">    Trading financial assets</t>
        </is>
      </c>
      <c r="D8" s="7" t="n">
        <v>470.3</v>
      </c>
      <c r="E8" s="7" t="n">
        <v>79.3</v>
      </c>
      <c r="F8" s="7" t="n">
        <v>1027.6</v>
      </c>
      <c r="G8" s="7" t="n">
        <v>345</v>
      </c>
      <c r="H8" s="8" t="n">
        <v>600</v>
      </c>
      <c r="I8" s="8" t="n">
        <v>600</v>
      </c>
      <c r="J8" s="8" t="n">
        <v>600</v>
      </c>
      <c r="K8" s="8" t="n">
        <v>600</v>
      </c>
      <c r="L8" s="8" t="n">
        <v>600</v>
      </c>
    </row>
    <row r="9">
      <c r="A9" t="inlineStr">
        <is>
          <t xml:space="preserve">    Bills receivable</t>
        </is>
      </c>
      <c r="D9" s="7" t="n">
        <v>480.7</v>
      </c>
      <c r="E9" s="7" t="n">
        <v>427.5</v>
      </c>
      <c r="F9" s="7" t="n">
        <v>601.8</v>
      </c>
      <c r="G9" s="7" t="n">
        <v>529.6</v>
      </c>
      <c r="H9" s="16">
        <f>'Income Statement'!H5*0.05</f>
        <v/>
      </c>
      <c r="I9" s="16">
        <f>'Income Statement'!I5*0.05</f>
        <v/>
      </c>
      <c r="J9" s="16">
        <f>'Income Statement'!J5*0.05</f>
        <v/>
      </c>
      <c r="K9" s="16">
        <f>'Income Statement'!K5*0.05</f>
        <v/>
      </c>
      <c r="L9" s="16">
        <f>'Income Statement'!L5*0.05</f>
        <v/>
      </c>
    </row>
    <row r="10">
      <c r="A10" t="inlineStr">
        <is>
          <t xml:space="preserve">    Accounts receivable</t>
        </is>
      </c>
      <c r="D10" s="7" t="n">
        <v>1111.9</v>
      </c>
      <c r="E10" s="7" t="n">
        <v>1245.1</v>
      </c>
      <c r="F10" s="7" t="n">
        <v>1371.2</v>
      </c>
      <c r="G10" s="7" t="n">
        <v>1910.2</v>
      </c>
      <c r="H10" s="16">
        <f>'Income Statement'!H5*62.0/365</f>
        <v/>
      </c>
      <c r="I10" s="16">
        <f>'Income Statement'!I5*60.0/365</f>
        <v/>
      </c>
      <c r="J10" s="16">
        <f>'Income Statement'!J5*58.0/365</f>
        <v/>
      </c>
      <c r="K10" s="16">
        <f>'Income Statement'!K5*58.0/365</f>
        <v/>
      </c>
      <c r="L10" s="16">
        <f>'Income Statement'!L5*58.0/365</f>
        <v/>
      </c>
    </row>
    <row r="11">
      <c r="A11" t="inlineStr">
        <is>
          <t xml:space="preserve">    Receivables financing (银承汇票池)</t>
        </is>
      </c>
      <c r="D11" s="7" t="n">
        <v>1389.4</v>
      </c>
      <c r="E11" s="7" t="n">
        <v>1094.7</v>
      </c>
      <c r="F11" s="7" t="n">
        <v>783.4</v>
      </c>
      <c r="G11" s="7" t="n">
        <v>829.5</v>
      </c>
      <c r="H11" s="8" t="n">
        <v>900</v>
      </c>
      <c r="I11" s="8" t="n">
        <v>900</v>
      </c>
      <c r="J11" s="8" t="n">
        <v>900</v>
      </c>
      <c r="K11" s="8" t="n">
        <v>900</v>
      </c>
      <c r="L11" s="8" t="n">
        <v>900</v>
      </c>
    </row>
    <row r="12">
      <c r="A12" t="inlineStr">
        <is>
          <t xml:space="preserve">    Prepayments</t>
        </is>
      </c>
      <c r="D12" s="7" t="n">
        <v>141.4</v>
      </c>
      <c r="E12" s="7" t="n">
        <v>155.7</v>
      </c>
      <c r="F12" s="7" t="n">
        <v>156.5</v>
      </c>
      <c r="G12" s="7" t="n">
        <v>252.2</v>
      </c>
      <c r="H12" s="16">
        <f>'Income Statement'!H8*0.04</f>
        <v/>
      </c>
      <c r="I12" s="16">
        <f>'Income Statement'!I8*0.04</f>
        <v/>
      </c>
      <c r="J12" s="16">
        <f>'Income Statement'!J8*0.04</f>
        <v/>
      </c>
      <c r="K12" s="16">
        <f>'Income Statement'!K8*0.04</f>
        <v/>
      </c>
      <c r="L12" s="16">
        <f>'Income Statement'!L8*0.04</f>
        <v/>
      </c>
    </row>
    <row r="13">
      <c r="A13" t="inlineStr">
        <is>
          <t xml:space="preserve">    Other receivables</t>
        </is>
      </c>
      <c r="D13" s="7" t="n">
        <v>27.9</v>
      </c>
      <c r="E13" s="7" t="n">
        <v>30.4</v>
      </c>
      <c r="F13" s="7" t="n">
        <v>29</v>
      </c>
      <c r="G13" s="7" t="n">
        <v>31.8</v>
      </c>
      <c r="H13" s="8" t="n">
        <v>35</v>
      </c>
      <c r="I13" s="8" t="n">
        <v>35</v>
      </c>
      <c r="J13" s="8" t="n">
        <v>35</v>
      </c>
      <c r="K13" s="8" t="n">
        <v>35</v>
      </c>
      <c r="L13" s="8" t="n">
        <v>35</v>
      </c>
    </row>
    <row r="14">
      <c r="A14" t="inlineStr">
        <is>
          <t xml:space="preserve">    Inventory</t>
        </is>
      </c>
      <c r="D14" s="7" t="n">
        <v>1765.5</v>
      </c>
      <c r="E14" s="7" t="n">
        <v>1692.1</v>
      </c>
      <c r="F14" s="7" t="n">
        <v>1764.5</v>
      </c>
      <c r="G14" s="7" t="n">
        <v>2154.2</v>
      </c>
      <c r="H14" s="16">
        <f>'Income Statement'!H8*120.0/365</f>
        <v/>
      </c>
      <c r="I14" s="16">
        <f>'Income Statement'!I8*118.0/365</f>
        <v/>
      </c>
      <c r="J14" s="16">
        <f>'Income Statement'!J8*115.0/365</f>
        <v/>
      </c>
      <c r="K14" s="16">
        <f>'Income Statement'!K8*115.0/365</f>
        <v/>
      </c>
      <c r="L14" s="16">
        <f>'Income Statement'!L8*115.0/365</f>
        <v/>
      </c>
    </row>
    <row r="15">
      <c r="A15" t="inlineStr">
        <is>
          <t xml:space="preserve">    Contract assets</t>
        </is>
      </c>
      <c r="D15" s="7" t="n">
        <v>8.9</v>
      </c>
      <c r="E15" s="7" t="n">
        <v>16.1</v>
      </c>
      <c r="F15" s="7" t="n">
        <v>20.4</v>
      </c>
      <c r="G15" s="7" t="n">
        <v>25.8</v>
      </c>
      <c r="H15" s="8" t="n">
        <v>30</v>
      </c>
      <c r="I15" s="8" t="n">
        <v>30</v>
      </c>
      <c r="J15" s="8" t="n">
        <v>30</v>
      </c>
      <c r="K15" s="8" t="n">
        <v>30</v>
      </c>
      <c r="L15" s="8" t="n">
        <v>30</v>
      </c>
    </row>
    <row r="16">
      <c r="A16" t="inlineStr">
        <is>
          <t xml:space="preserve">    Other current assets</t>
        </is>
      </c>
      <c r="D16" s="7" t="n">
        <v>44.4</v>
      </c>
      <c r="E16" s="7" t="n">
        <v>129.2</v>
      </c>
      <c r="F16" s="7" t="n">
        <v>193.2</v>
      </c>
      <c r="G16" s="7" t="n">
        <v>274.1</v>
      </c>
      <c r="H16" s="8" t="n">
        <v>300</v>
      </c>
      <c r="I16" s="8" t="n">
        <v>300</v>
      </c>
      <c r="J16" s="8" t="n">
        <v>300</v>
      </c>
      <c r="K16" s="8" t="n">
        <v>300</v>
      </c>
      <c r="L16" s="8" t="n">
        <v>300</v>
      </c>
    </row>
    <row r="17">
      <c r="A17" s="2" t="inlineStr">
        <is>
          <t>Total current assets</t>
        </is>
      </c>
      <c r="B17" s="17">
        <f>B7+B8+B9+B10+B11+B12+B13+B14+B15+B16</f>
        <v/>
      </c>
      <c r="C17" s="17">
        <f>C7+C8+C9+C10+C11+C12+C13+C14+C15+C16</f>
        <v/>
      </c>
      <c r="D17" s="17">
        <f>D7+D8+D9+D10+D11+D12+D13+D14+D15+D16</f>
        <v/>
      </c>
      <c r="E17" s="17">
        <f>E7+E8+E9+E10+E11+E12+E13+E14+E15+E16</f>
        <v/>
      </c>
      <c r="F17" s="17">
        <f>F7+F8+F9+F10+F11+F12+F13+F14+F15+F16</f>
        <v/>
      </c>
      <c r="G17" s="17">
        <f>G7+G8+G9+G10+G11+G12+G13+G14+G15+G16</f>
        <v/>
      </c>
      <c r="H17" s="17">
        <f>H7+H8+H9+H10+H11+H12+H13+H14+H15+H16</f>
        <v/>
      </c>
      <c r="I17" s="17">
        <f>I7+I8+I9+I10+I11+I12+I13+I14+I15+I16</f>
        <v/>
      </c>
      <c r="J17" s="17">
        <f>J7+J8+J9+J10+J11+J12+J13+J14+J15+J16</f>
        <v/>
      </c>
      <c r="K17" s="17">
        <f>K7+K8+K9+K10+K11+K12+K13+K14+K15+K16</f>
        <v/>
      </c>
      <c r="L17" s="17">
        <f>L7+L8+L9+L10+L11+L12+L13+L14+L15+L16</f>
        <v/>
      </c>
    </row>
    <row r="19">
      <c r="A19" s="2" t="inlineStr">
        <is>
          <t>Non-current assets</t>
        </is>
      </c>
    </row>
    <row r="20">
      <c r="A20" t="inlineStr">
        <is>
          <t xml:space="preserve">    PP&amp;E, net</t>
        </is>
      </c>
      <c r="D20" s="7" t="n">
        <v>2826</v>
      </c>
      <c r="E20" s="7" t="n">
        <v>3344</v>
      </c>
      <c r="F20" s="7" t="n">
        <v>3889.1</v>
      </c>
      <c r="G20" s="7" t="n">
        <v>4997.6</v>
      </c>
      <c r="H20" s="16">
        <f>G20+(-'Cash Flow'!H13)*0.8-'Income Statement'!H35*0.85</f>
        <v/>
      </c>
      <c r="I20" s="16">
        <f>H20+(-'Cash Flow'!I13)*0.8-'Income Statement'!I35*0.85</f>
        <v/>
      </c>
      <c r="J20" s="16">
        <f>I20+(-'Cash Flow'!J13)*0.8-'Income Statement'!J35*0.85</f>
        <v/>
      </c>
      <c r="K20" s="16">
        <f>J20+(-'Cash Flow'!K13)*0.8-'Income Statement'!K35*0.85</f>
        <v/>
      </c>
      <c r="L20" s="16">
        <f>K20+(-'Cash Flow'!L13)*0.8-'Income Statement'!L35*0.85</f>
        <v/>
      </c>
    </row>
    <row r="21">
      <c r="A21" t="inlineStr">
        <is>
          <t xml:space="preserve">    Construction in progress</t>
        </is>
      </c>
      <c r="D21" s="7" t="n">
        <v>450</v>
      </c>
      <c r="E21" s="7" t="n">
        <v>1100</v>
      </c>
      <c r="F21" s="7" t="n">
        <v>1083.7</v>
      </c>
      <c r="G21" s="7" t="n">
        <v>417.2</v>
      </c>
      <c r="H21" s="8" t="n">
        <v>500</v>
      </c>
      <c r="I21" s="8" t="n">
        <v>500</v>
      </c>
      <c r="J21" s="8" t="n">
        <v>500</v>
      </c>
      <c r="K21" s="8" t="n">
        <v>500</v>
      </c>
      <c r="L21" s="8" t="n">
        <v>500</v>
      </c>
    </row>
    <row r="22">
      <c r="A22" t="inlineStr">
        <is>
          <t xml:space="preserve">    Intangible assets</t>
        </is>
      </c>
      <c r="D22" s="7" t="n">
        <v>420</v>
      </c>
      <c r="E22" s="7" t="n">
        <v>430</v>
      </c>
      <c r="F22" s="7" t="n">
        <v>438.7</v>
      </c>
      <c r="G22" s="7" t="n">
        <v>450.7</v>
      </c>
      <c r="H22" s="16">
        <f>G22+(-'Cash Flow'!H13)*0.2-'Income Statement'!H35*0.15</f>
        <v/>
      </c>
      <c r="I22" s="16">
        <f>H22+(-'Cash Flow'!I13)*0.2-'Income Statement'!I35*0.15</f>
        <v/>
      </c>
      <c r="J22" s="16">
        <f>I22+(-'Cash Flow'!J13)*0.2-'Income Statement'!J35*0.15</f>
        <v/>
      </c>
      <c r="K22" s="16">
        <f>J22+(-'Cash Flow'!K13)*0.2-'Income Statement'!K35*0.15</f>
        <v/>
      </c>
      <c r="L22" s="16">
        <f>K22+(-'Cash Flow'!L13)*0.2-'Income Statement'!L35*0.15</f>
        <v/>
      </c>
    </row>
    <row r="23">
      <c r="A23" t="inlineStr">
        <is>
          <t xml:space="preserve">    Goodwill</t>
        </is>
      </c>
      <c r="D23" s="7" t="n">
        <v>0.7</v>
      </c>
      <c r="E23" s="7" t="n">
        <v>0.7</v>
      </c>
      <c r="F23" s="7" t="n">
        <v>0.7</v>
      </c>
      <c r="G23" s="7" t="n">
        <v>0.7</v>
      </c>
      <c r="H23" s="16">
        <f>G23</f>
        <v/>
      </c>
      <c r="I23" s="16">
        <f>H23</f>
        <v/>
      </c>
      <c r="J23" s="16">
        <f>I23</f>
        <v/>
      </c>
      <c r="K23" s="16">
        <f>J23</f>
        <v/>
      </c>
      <c r="L23" s="16">
        <f>K23</f>
        <v/>
      </c>
    </row>
    <row r="24">
      <c r="A24" t="inlineStr">
        <is>
          <t xml:space="preserve">    LT equity investments</t>
        </is>
      </c>
      <c r="D24" s="7" t="n">
        <v>5</v>
      </c>
      <c r="E24" s="7" t="n">
        <v>6</v>
      </c>
      <c r="F24" s="7" t="n">
        <v>8.4</v>
      </c>
      <c r="G24" s="7" t="n">
        <v>10</v>
      </c>
      <c r="H24" s="16">
        <f>G24*1.05</f>
        <v/>
      </c>
      <c r="I24" s="16">
        <f>H24*1.05</f>
        <v/>
      </c>
      <c r="J24" s="16">
        <f>I24*1.05</f>
        <v/>
      </c>
      <c r="K24" s="16">
        <f>J24*1.05</f>
        <v/>
      </c>
      <c r="L24" s="16">
        <f>K24*1.05</f>
        <v/>
      </c>
    </row>
    <row r="25">
      <c r="A25" t="inlineStr">
        <is>
          <t xml:space="preserve">    Deferred tax assets</t>
        </is>
      </c>
      <c r="D25" s="7" t="n">
        <v>80</v>
      </c>
      <c r="E25" s="7" t="n">
        <v>110</v>
      </c>
      <c r="F25" s="7" t="n">
        <v>138.7</v>
      </c>
      <c r="G25" s="7" t="n">
        <v>275.9</v>
      </c>
      <c r="H25" s="16">
        <f>G25*1.1</f>
        <v/>
      </c>
      <c r="I25" s="16">
        <f>H25*1.1</f>
        <v/>
      </c>
      <c r="J25" s="16">
        <f>I25*1.1</f>
        <v/>
      </c>
      <c r="K25" s="16">
        <f>J25*1.1</f>
        <v/>
      </c>
      <c r="L25" s="16">
        <f>K25*1.1</f>
        <v/>
      </c>
    </row>
    <row r="26">
      <c r="A26" t="inlineStr">
        <is>
          <t xml:space="preserve">    Other non-current assets</t>
        </is>
      </c>
      <c r="D26" s="7" t="n">
        <v>388</v>
      </c>
      <c r="E26" s="7" t="n">
        <v>1053</v>
      </c>
      <c r="F26" s="7" t="n">
        <v>248.7</v>
      </c>
      <c r="G26" s="7" t="n">
        <v>295.8</v>
      </c>
      <c r="H26" s="8" t="n">
        <v>320</v>
      </c>
      <c r="I26" s="8" t="n">
        <v>320</v>
      </c>
      <c r="J26" s="8" t="n">
        <v>320</v>
      </c>
      <c r="K26" s="8" t="n">
        <v>320</v>
      </c>
      <c r="L26" s="8" t="n">
        <v>320</v>
      </c>
    </row>
    <row r="27">
      <c r="A27" s="2" t="inlineStr">
        <is>
          <t>Total non-current assets</t>
        </is>
      </c>
      <c r="B27" s="17">
        <f>B20+B21+B22+B23+B24+B25+B26</f>
        <v/>
      </c>
      <c r="C27" s="17">
        <f>C20+C21+C22+C23+C24+C25+C26</f>
        <v/>
      </c>
      <c r="D27" s="17">
        <f>D20+D21+D22+D23+D24+D25+D26</f>
        <v/>
      </c>
      <c r="E27" s="17">
        <f>E20+E21+E22+E23+E24+E25+E26</f>
        <v/>
      </c>
      <c r="F27" s="17">
        <f>F20+F21+F22+F23+F24+F25+F26</f>
        <v/>
      </c>
      <c r="G27" s="17">
        <f>G20+G21+G22+G23+G24+G25+G26</f>
        <v/>
      </c>
      <c r="H27" s="17">
        <f>H20+H21+H22+H23+H24+H25+H26</f>
        <v/>
      </c>
      <c r="I27" s="17">
        <f>I20+I21+I22+I23+I24+I25+I26</f>
        <v/>
      </c>
      <c r="J27" s="17">
        <f>J20+J21+J22+J23+J24+J25+J26</f>
        <v/>
      </c>
      <c r="K27" s="17">
        <f>K20+K21+K22+K23+K24+K25+K26</f>
        <v/>
      </c>
      <c r="L27" s="17">
        <f>L20+L21+L22+L23+L24+L25+L26</f>
        <v/>
      </c>
    </row>
    <row r="29">
      <c r="A29" s="12" t="inlineStr">
        <is>
          <t>TOTAL ASSETS</t>
        </is>
      </c>
      <c r="B29" s="14">
        <f>B17+B27</f>
        <v/>
      </c>
      <c r="C29" s="14">
        <f>C17+C27</f>
        <v/>
      </c>
      <c r="D29" s="14">
        <f>D17+D27</f>
        <v/>
      </c>
      <c r="E29" s="14">
        <f>E17+E27</f>
        <v/>
      </c>
      <c r="F29" s="14">
        <f>F17+F27</f>
        <v/>
      </c>
      <c r="G29" s="14">
        <f>G17+G27</f>
        <v/>
      </c>
      <c r="H29" s="14">
        <f>H17+H27</f>
        <v/>
      </c>
      <c r="I29" s="14">
        <f>I17+I27</f>
        <v/>
      </c>
      <c r="J29" s="14">
        <f>J17+J27</f>
        <v/>
      </c>
      <c r="K29" s="14">
        <f>K17+K27</f>
        <v/>
      </c>
      <c r="L29" s="14">
        <f>L17+L27</f>
        <v/>
      </c>
    </row>
    <row r="31">
      <c r="A31" s="6" t="inlineStr">
        <is>
          <t>LIABILITIES</t>
        </is>
      </c>
    </row>
    <row r="32">
      <c r="A32" s="2" t="inlineStr">
        <is>
          <t>Current liabilities</t>
        </is>
      </c>
    </row>
    <row r="33">
      <c r="A33" t="inlineStr">
        <is>
          <t xml:space="preserve">    Short-term borrowings</t>
        </is>
      </c>
      <c r="D33" s="7" t="n">
        <v>200</v>
      </c>
      <c r="E33" s="7" t="n">
        <v>100</v>
      </c>
      <c r="F33" s="7" t="n">
        <v>15.4</v>
      </c>
      <c r="G33" s="7" t="n">
        <v>13.5</v>
      </c>
      <c r="H33" s="8" t="n">
        <v>15</v>
      </c>
      <c r="I33" s="8" t="n">
        <v>15</v>
      </c>
      <c r="J33" s="8" t="n">
        <v>15</v>
      </c>
      <c r="K33" s="8" t="n">
        <v>15</v>
      </c>
      <c r="L33" s="8" t="n">
        <v>15</v>
      </c>
    </row>
    <row r="34">
      <c r="A34" t="inlineStr">
        <is>
          <t xml:space="preserve">    Bills payable</t>
        </is>
      </c>
      <c r="D34" s="7" t="n">
        <v>250</v>
      </c>
      <c r="E34" s="7" t="n">
        <v>300</v>
      </c>
      <c r="F34" s="7" t="n">
        <v>246.6</v>
      </c>
      <c r="G34" s="7" t="n">
        <v>0.8</v>
      </c>
      <c r="H34" s="8" t="n">
        <v>50</v>
      </c>
      <c r="I34" s="8" t="n">
        <v>50</v>
      </c>
      <c r="J34" s="8" t="n">
        <v>50</v>
      </c>
      <c r="K34" s="8" t="n">
        <v>50</v>
      </c>
      <c r="L34" s="8" t="n">
        <v>50</v>
      </c>
    </row>
    <row r="35">
      <c r="A35" t="inlineStr">
        <is>
          <t xml:space="preserve">    Accounts payable</t>
        </is>
      </c>
      <c r="D35" s="7" t="n">
        <v>1100</v>
      </c>
      <c r="E35" s="7" t="n">
        <v>1200</v>
      </c>
      <c r="F35" s="7" t="n">
        <v>888.9</v>
      </c>
      <c r="G35" s="7" t="n">
        <v>1022.5</v>
      </c>
      <c r="H35" s="16">
        <f>'Income Statement'!H8*55.0/365</f>
        <v/>
      </c>
      <c r="I35" s="16">
        <f>'Income Statement'!I8*55.0/365</f>
        <v/>
      </c>
      <c r="J35" s="16">
        <f>'Income Statement'!J8*55.0/365</f>
        <v/>
      </c>
      <c r="K35" s="16">
        <f>'Income Statement'!K8*55.0/365</f>
        <v/>
      </c>
      <c r="L35" s="16">
        <f>'Income Statement'!L8*55.0/365</f>
        <v/>
      </c>
    </row>
    <row r="36">
      <c r="A36" t="inlineStr">
        <is>
          <t xml:space="preserve">    Contract liabilities (customer advances)</t>
        </is>
      </c>
      <c r="D36" s="7" t="n">
        <v>200</v>
      </c>
      <c r="E36" s="7" t="n">
        <v>250</v>
      </c>
      <c r="F36" s="7" t="n">
        <v>283.6</v>
      </c>
      <c r="G36" s="7" t="n">
        <v>323.8</v>
      </c>
      <c r="H36" s="16">
        <f>'Income Statement'!H5*0.03</f>
        <v/>
      </c>
      <c r="I36" s="16">
        <f>'Income Statement'!I5*0.03</f>
        <v/>
      </c>
      <c r="J36" s="16">
        <f>'Income Statement'!J5*0.03</f>
        <v/>
      </c>
      <c r="K36" s="16">
        <f>'Income Statement'!K5*0.03</f>
        <v/>
      </c>
      <c r="L36" s="16">
        <f>'Income Statement'!L5*0.03</f>
        <v/>
      </c>
    </row>
    <row r="37">
      <c r="A37" t="inlineStr">
        <is>
          <t xml:space="preserve">    Employee comp payable</t>
        </is>
      </c>
      <c r="D37" s="7" t="n">
        <v>250</v>
      </c>
      <c r="E37" s="7" t="n">
        <v>270</v>
      </c>
      <c r="F37" s="7" t="n">
        <v>294.4</v>
      </c>
      <c r="G37" s="7" t="n">
        <v>382</v>
      </c>
      <c r="H37" s="16">
        <f>'Income Statement'!H5*0.04</f>
        <v/>
      </c>
      <c r="I37" s="16">
        <f>'Income Statement'!I5*0.04</f>
        <v/>
      </c>
      <c r="J37" s="16">
        <f>'Income Statement'!J5*0.04</f>
        <v/>
      </c>
      <c r="K37" s="16">
        <f>'Income Statement'!K5*0.04</f>
        <v/>
      </c>
      <c r="L37" s="16">
        <f>'Income Statement'!L5*0.04</f>
        <v/>
      </c>
    </row>
    <row r="38">
      <c r="A38" t="inlineStr">
        <is>
          <t xml:space="preserve">    Tax payable</t>
        </is>
      </c>
      <c r="D38" s="7" t="n">
        <v>140</v>
      </c>
      <c r="E38" s="7" t="n">
        <v>150</v>
      </c>
      <c r="F38" s="7" t="n">
        <v>160.3</v>
      </c>
      <c r="G38" s="7" t="n">
        <v>231.1</v>
      </c>
      <c r="H38" s="16">
        <f>'Income Statement'!H45*0.65</f>
        <v/>
      </c>
      <c r="I38" s="16">
        <f>'Income Statement'!I45*0.65</f>
        <v/>
      </c>
      <c r="J38" s="16">
        <f>'Income Statement'!J45*0.65</f>
        <v/>
      </c>
      <c r="K38" s="16">
        <f>'Income Statement'!K45*0.65</f>
        <v/>
      </c>
      <c r="L38" s="16">
        <f>'Income Statement'!L45*0.65</f>
        <v/>
      </c>
    </row>
    <row r="39">
      <c r="A39" t="inlineStr">
        <is>
          <t xml:space="preserve">    Other payables (incl. dividend payable)</t>
        </is>
      </c>
      <c r="D39" s="7" t="n">
        <v>1200</v>
      </c>
      <c r="E39" s="7" t="n">
        <v>1300</v>
      </c>
      <c r="F39" s="7" t="n">
        <v>1116.2</v>
      </c>
      <c r="G39" s="7" t="n">
        <v>1555.7</v>
      </c>
      <c r="H39" s="8" t="n">
        <v>1600</v>
      </c>
      <c r="I39" s="8" t="n">
        <v>1600</v>
      </c>
      <c r="J39" s="8" t="n">
        <v>1600</v>
      </c>
      <c r="K39" s="8" t="n">
        <v>1600</v>
      </c>
      <c r="L39" s="8" t="n">
        <v>1600</v>
      </c>
    </row>
    <row r="40">
      <c r="A40" t="inlineStr">
        <is>
          <t xml:space="preserve">    Other current liabilities</t>
        </is>
      </c>
      <c r="D40" s="7" t="n">
        <v>196.2</v>
      </c>
      <c r="E40" s="7" t="n">
        <v>132.5</v>
      </c>
      <c r="F40" s="7" t="n">
        <v>374.7</v>
      </c>
      <c r="G40" s="7" t="n">
        <v>291.1</v>
      </c>
      <c r="H40" s="8" t="n">
        <v>300</v>
      </c>
      <c r="I40" s="8" t="n">
        <v>300</v>
      </c>
      <c r="J40" s="8" t="n">
        <v>300</v>
      </c>
      <c r="K40" s="8" t="n">
        <v>300</v>
      </c>
      <c r="L40" s="8" t="n">
        <v>300</v>
      </c>
    </row>
    <row r="41">
      <c r="A41" s="2" t="inlineStr">
        <is>
          <t>Total current liabilities</t>
        </is>
      </c>
      <c r="B41" s="17">
        <f>B33+B34+B35+B36+B37+B38+B39+B40</f>
        <v/>
      </c>
      <c r="C41" s="17">
        <f>C33+C34+C35+C36+C37+C38+C39+C40</f>
        <v/>
      </c>
      <c r="D41" s="17">
        <f>D33+D34+D35+D36+D37+D38+D39+D40</f>
        <v/>
      </c>
      <c r="E41" s="17">
        <f>E33+E34+E35+E36+E37+E38+E39+E40</f>
        <v/>
      </c>
      <c r="F41" s="17">
        <f>F33+F34+F35+F36+F37+F38+F39+F40</f>
        <v/>
      </c>
      <c r="G41" s="17">
        <f>G33+G34+G35+G36+G37+G38+G39+G40</f>
        <v/>
      </c>
      <c r="H41" s="17">
        <f>H33+H34+H35+H36+H37+H38+H39+H40</f>
        <v/>
      </c>
      <c r="I41" s="17">
        <f>I33+I34+I35+I36+I37+I38+I39+I40</f>
        <v/>
      </c>
      <c r="J41" s="17">
        <f>J33+J34+J35+J36+J37+J38+J39+J40</f>
        <v/>
      </c>
      <c r="K41" s="17">
        <f>K33+K34+K35+K36+K37+K38+K39+K40</f>
        <v/>
      </c>
      <c r="L41" s="17">
        <f>L33+L34+L35+L36+L37+L38+L39+L40</f>
        <v/>
      </c>
    </row>
    <row r="43">
      <c r="A43" s="2" t="inlineStr">
        <is>
          <t>Non-current liabilities</t>
        </is>
      </c>
    </row>
    <row r="44">
      <c r="A44" t="inlineStr">
        <is>
          <t xml:space="preserve">    Long-term borrowings</t>
        </is>
      </c>
      <c r="D44" s="7" t="n">
        <v>0</v>
      </c>
      <c r="E44" s="7" t="n">
        <v>0</v>
      </c>
      <c r="F44" s="7" t="n">
        <v>0</v>
      </c>
      <c r="G44" s="7" t="n">
        <v>20</v>
      </c>
      <c r="H44" s="8" t="n">
        <v>20</v>
      </c>
      <c r="I44" s="8" t="n">
        <v>20</v>
      </c>
      <c r="J44" s="8" t="n">
        <v>20</v>
      </c>
      <c r="K44" s="8" t="n">
        <v>20</v>
      </c>
      <c r="L44" s="8" t="n">
        <v>20</v>
      </c>
    </row>
    <row r="45">
      <c r="A45" t="inlineStr">
        <is>
          <t xml:space="preserve">    Lease liabilities</t>
        </is>
      </c>
      <c r="D45" s="7" t="n">
        <v>0</v>
      </c>
      <c r="E45" s="7" t="n">
        <v>0</v>
      </c>
      <c r="F45" s="7" t="n">
        <v>1.2</v>
      </c>
      <c r="G45" s="7" t="n">
        <v>11.1</v>
      </c>
      <c r="H45" s="8" t="n">
        <v>15</v>
      </c>
      <c r="I45" s="8" t="n">
        <v>15</v>
      </c>
      <c r="J45" s="8" t="n">
        <v>15</v>
      </c>
      <c r="K45" s="8" t="n">
        <v>15</v>
      </c>
      <c r="L45" s="8" t="n">
        <v>15</v>
      </c>
    </row>
    <row r="46">
      <c r="A46" t="inlineStr">
        <is>
          <t xml:space="preserve">    Deferred revenue (govt grants)</t>
        </is>
      </c>
      <c r="D46" s="7" t="n">
        <v>61.9</v>
      </c>
      <c r="E46" s="7" t="n">
        <v>53.7</v>
      </c>
      <c r="F46" s="7" t="n">
        <v>211.5</v>
      </c>
      <c r="G46" s="7" t="n">
        <v>253.4</v>
      </c>
      <c r="H46" s="8" t="n">
        <v>280</v>
      </c>
      <c r="I46" s="8" t="n">
        <v>280</v>
      </c>
      <c r="J46" s="8" t="n">
        <v>280</v>
      </c>
      <c r="K46" s="8" t="n">
        <v>280</v>
      </c>
      <c r="L46" s="8" t="n">
        <v>280</v>
      </c>
    </row>
    <row r="47">
      <c r="A47" t="inlineStr">
        <is>
          <t xml:space="preserve">    Deferred tax liabilities</t>
        </is>
      </c>
      <c r="D47" s="7" t="n">
        <v>76.3</v>
      </c>
      <c r="E47" s="7" t="n">
        <v>74.3</v>
      </c>
      <c r="F47" s="7" t="n">
        <v>218.3</v>
      </c>
      <c r="G47" s="7" t="n">
        <v>227.9</v>
      </c>
      <c r="H47" s="8" t="n">
        <v>250</v>
      </c>
      <c r="I47" s="8" t="n">
        <v>250</v>
      </c>
      <c r="J47" s="8" t="n">
        <v>250</v>
      </c>
      <c r="K47" s="8" t="n">
        <v>250</v>
      </c>
      <c r="L47" s="8" t="n">
        <v>250</v>
      </c>
    </row>
    <row r="48">
      <c r="A48" s="2" t="inlineStr">
        <is>
          <t>Total non-current liabilities</t>
        </is>
      </c>
      <c r="B48" s="17">
        <f>B44+B45+B46+B47</f>
        <v/>
      </c>
      <c r="C48" s="17">
        <f>C44+C45+C46+C47</f>
        <v/>
      </c>
      <c r="D48" s="17">
        <f>D44+D45+D46+D47</f>
        <v/>
      </c>
      <c r="E48" s="17">
        <f>E44+E45+E46+E47</f>
        <v/>
      </c>
      <c r="F48" s="17">
        <f>F44+F45+F46+F47</f>
        <v/>
      </c>
      <c r="G48" s="17">
        <f>G44+G45+G46+G47</f>
        <v/>
      </c>
      <c r="H48" s="17">
        <f>H44+H45+H46+H47</f>
        <v/>
      </c>
      <c r="I48" s="17">
        <f>I44+I45+I46+I47</f>
        <v/>
      </c>
      <c r="J48" s="17">
        <f>J44+J45+J46+J47</f>
        <v/>
      </c>
      <c r="K48" s="17">
        <f>K44+K45+K46+K47</f>
        <v/>
      </c>
      <c r="L48" s="17">
        <f>L44+L45+L46+L47</f>
        <v/>
      </c>
    </row>
    <row r="50">
      <c r="A50" s="12" t="inlineStr">
        <is>
          <t>TOTAL LIABILITIES</t>
        </is>
      </c>
      <c r="B50" s="14">
        <f>B41+B48</f>
        <v/>
      </c>
      <c r="C50" s="14">
        <f>C41+C48</f>
        <v/>
      </c>
      <c r="D50" s="14">
        <f>D41+D48</f>
        <v/>
      </c>
      <c r="E50" s="14">
        <f>E41+E48</f>
        <v/>
      </c>
      <c r="F50" s="14">
        <f>F41+F48</f>
        <v/>
      </c>
      <c r="G50" s="14">
        <f>G41+G48</f>
        <v/>
      </c>
      <c r="H50" s="14">
        <f>H41+H48</f>
        <v/>
      </c>
      <c r="I50" s="14">
        <f>I41+I48</f>
        <v/>
      </c>
      <c r="J50" s="14">
        <f>J41+J48</f>
        <v/>
      </c>
      <c r="K50" s="14">
        <f>K41+K48</f>
        <v/>
      </c>
      <c r="L50" s="14">
        <f>L41+L48</f>
        <v/>
      </c>
    </row>
    <row r="52">
      <c r="A52" s="6" t="inlineStr">
        <is>
          <t>EQUITY</t>
        </is>
      </c>
    </row>
    <row r="53">
      <c r="A53" t="inlineStr">
        <is>
          <t xml:space="preserve">    Share capital</t>
        </is>
      </c>
      <c r="D53" s="7" t="n">
        <v>1340.8</v>
      </c>
      <c r="E53" s="7" t="n">
        <v>1340.8</v>
      </c>
      <c r="F53" s="7" t="n">
        <v>1340.8</v>
      </c>
      <c r="G53" s="7" t="n">
        <v>1340.8</v>
      </c>
      <c r="H53" s="8" t="n">
        <v>1340.8</v>
      </c>
      <c r="I53" s="8" t="n">
        <v>1340.8</v>
      </c>
      <c r="J53" s="8" t="n">
        <v>1340.8</v>
      </c>
      <c r="K53" s="8" t="n">
        <v>1340.8</v>
      </c>
      <c r="L53" s="8" t="n">
        <v>1340.8</v>
      </c>
    </row>
    <row r="54">
      <c r="A54" t="inlineStr">
        <is>
          <t xml:space="preserve">    Capital reserve</t>
        </is>
      </c>
      <c r="D54" s="7" t="n">
        <v>3362.2</v>
      </c>
      <c r="E54" s="7" t="n">
        <v>3362.2</v>
      </c>
      <c r="F54" s="7" t="n">
        <v>3364.9</v>
      </c>
      <c r="G54" s="7" t="n">
        <v>3364.9</v>
      </c>
      <c r="H54" s="8" t="n">
        <v>3364.9</v>
      </c>
      <c r="I54" s="8" t="n">
        <v>3364.9</v>
      </c>
      <c r="J54" s="8" t="n">
        <v>3364.9</v>
      </c>
      <c r="K54" s="8" t="n">
        <v>3364.9</v>
      </c>
      <c r="L54" s="8" t="n">
        <v>3364.9</v>
      </c>
    </row>
    <row r="55">
      <c r="A55" t="inlineStr">
        <is>
          <t xml:space="preserve">    Other comprehensive income (FX translation)</t>
        </is>
      </c>
      <c r="D55" s="7" t="n">
        <v>0</v>
      </c>
      <c r="E55" s="7" t="n">
        <v>0</v>
      </c>
      <c r="F55" s="7" t="n">
        <v>-88</v>
      </c>
      <c r="G55" s="7" t="n">
        <v>16.7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</row>
    <row r="56">
      <c r="A56" t="inlineStr">
        <is>
          <t xml:space="preserve">    Surplus + special reserve</t>
        </is>
      </c>
      <c r="D56" s="7" t="n">
        <v>681.1</v>
      </c>
      <c r="E56" s="7" t="n">
        <v>683.3</v>
      </c>
      <c r="F56" s="7" t="n">
        <v>706.9</v>
      </c>
      <c r="G56" s="7" t="n">
        <v>714.1</v>
      </c>
      <c r="H56" s="8" t="n">
        <v>720</v>
      </c>
      <c r="I56" s="8" t="n">
        <v>720</v>
      </c>
      <c r="J56" s="8" t="n">
        <v>720</v>
      </c>
      <c r="K56" s="8" t="n">
        <v>720</v>
      </c>
      <c r="L56" s="8" t="n">
        <v>720</v>
      </c>
    </row>
    <row r="57">
      <c r="A57" t="inlineStr">
        <is>
          <t xml:space="preserve">    Retained earnings</t>
        </is>
      </c>
      <c r="D57" s="7" t="n">
        <v>3438.4</v>
      </c>
      <c r="E57" s="7" t="n">
        <v>3818.3</v>
      </c>
      <c r="F57" s="7" t="n">
        <v>10450.1</v>
      </c>
      <c r="G57" s="7" t="n">
        <v>11843.4</v>
      </c>
      <c r="H57" s="16">
        <f>G57+'Income Statement'!H51+'Cash Flow'!H22</f>
        <v/>
      </c>
      <c r="I57" s="16">
        <f>H57+'Income Statement'!I51+'Cash Flow'!I22</f>
        <v/>
      </c>
      <c r="J57" s="16">
        <f>I57+'Income Statement'!J51+'Cash Flow'!J22</f>
        <v/>
      </c>
      <c r="K57" s="16">
        <f>J57+'Income Statement'!K51+'Cash Flow'!K22</f>
        <v/>
      </c>
      <c r="L57" s="16">
        <f>K57+'Income Statement'!L51+'Cash Flow'!L22</f>
        <v/>
      </c>
    </row>
    <row r="58">
      <c r="A58" t="inlineStr">
        <is>
          <t xml:space="preserve">    Minority interest</t>
        </is>
      </c>
      <c r="D58" s="7" t="n">
        <v>0</v>
      </c>
      <c r="E58" s="7" t="n">
        <v>0</v>
      </c>
      <c r="F58" s="7" t="n">
        <v>53.7</v>
      </c>
      <c r="G58" s="7" t="n">
        <v>58.1</v>
      </c>
      <c r="H58" s="16">
        <f>G58+'Income Statement'!H50</f>
        <v/>
      </c>
      <c r="I58" s="16">
        <f>H58+'Income Statement'!I50</f>
        <v/>
      </c>
      <c r="J58" s="16">
        <f>I58+'Income Statement'!J50</f>
        <v/>
      </c>
      <c r="K58" s="16">
        <f>J58+'Income Statement'!K50</f>
        <v/>
      </c>
      <c r="L58" s="16">
        <f>K58+'Income Statement'!L50</f>
        <v/>
      </c>
    </row>
    <row r="59">
      <c r="A59" s="12" t="inlineStr">
        <is>
          <t>TOTAL EQUITY</t>
        </is>
      </c>
      <c r="B59" s="14">
        <f>B53+B54+B55+B56+B57+B58</f>
        <v/>
      </c>
      <c r="C59" s="14">
        <f>C53+C54+C55+C56+C57+C58</f>
        <v/>
      </c>
      <c r="D59" s="14">
        <f>D53+D54+D55+D56+D57+D58</f>
        <v/>
      </c>
      <c r="E59" s="14">
        <f>E53+E54+E55+E56+E57+E58</f>
        <v/>
      </c>
      <c r="F59" s="14">
        <f>F53+F54+F55+F56+F57+F58</f>
        <v/>
      </c>
      <c r="G59" s="14">
        <f>G53+G54+G55+G56+G57+G58</f>
        <v/>
      </c>
      <c r="H59" s="14">
        <f>H53+H54+H55+H56+H57+H58</f>
        <v/>
      </c>
      <c r="I59" s="14">
        <f>I53+I54+I55+I56+I57+I58</f>
        <v/>
      </c>
      <c r="J59" s="14">
        <f>J53+J54+J55+J56+J57+J58</f>
        <v/>
      </c>
      <c r="K59" s="14">
        <f>K53+K54+K55+K56+K57+K58</f>
        <v/>
      </c>
      <c r="L59" s="14">
        <f>L53+L54+L55+L56+L57+L58</f>
        <v/>
      </c>
    </row>
    <row r="61">
      <c r="A61" s="12" t="inlineStr">
        <is>
          <t>TOTAL LIABILITIES + EQUITY</t>
        </is>
      </c>
      <c r="B61" s="14">
        <f>B50+B59</f>
        <v/>
      </c>
      <c r="C61" s="14">
        <f>C50+C59</f>
        <v/>
      </c>
      <c r="D61" s="14">
        <f>D50+D59</f>
        <v/>
      </c>
      <c r="E61" s="14">
        <f>E50+E59</f>
        <v/>
      </c>
      <c r="F61" s="14">
        <f>F50+F59</f>
        <v/>
      </c>
      <c r="G61" s="14">
        <f>G50+G59</f>
        <v/>
      </c>
      <c r="H61" s="14">
        <f>H50+H59</f>
        <v/>
      </c>
      <c r="I61" s="14">
        <f>I50+I59</f>
        <v/>
      </c>
      <c r="J61" s="14">
        <f>J50+J59</f>
        <v/>
      </c>
      <c r="K61" s="14">
        <f>K50+K59</f>
        <v/>
      </c>
      <c r="L61" s="14">
        <f>L50+L59</f>
        <v/>
      </c>
    </row>
    <row r="62">
      <c r="A62" s="9" t="inlineStr">
        <is>
          <t>BALANCE CHECK (Assets - L+E)</t>
        </is>
      </c>
      <c r="B62" s="24">
        <f>B29-B61</f>
        <v/>
      </c>
      <c r="C62" s="24">
        <f>C29-C61</f>
        <v/>
      </c>
      <c r="D62" s="24">
        <f>D29-D61</f>
        <v/>
      </c>
      <c r="E62" s="24">
        <f>E29-E61</f>
        <v/>
      </c>
      <c r="F62" s="24">
        <f>F29-F61</f>
        <v/>
      </c>
      <c r="G62" s="24">
        <f>G29-G61</f>
        <v/>
      </c>
      <c r="H62" s="24">
        <f>H29-H61</f>
        <v/>
      </c>
      <c r="I62" s="24">
        <f>I29-I61</f>
        <v/>
      </c>
      <c r="J62" s="24">
        <f>J29-J61</f>
        <v/>
      </c>
      <c r="K62" s="24">
        <f>K29-K61</f>
        <v/>
      </c>
      <c r="L62" s="24">
        <f>L29-L61</f>
        <v/>
      </c>
    </row>
    <row r="64">
      <c r="A64" s="6" t="inlineStr">
        <is>
          <t>KEY RATIOS</t>
        </is>
      </c>
    </row>
    <row r="65">
      <c r="A65" t="inlineStr">
        <is>
          <t xml:space="preserve">  Current ratio (CA / CL)</t>
        </is>
      </c>
      <c r="B65" s="19">
        <f>B17/B41</f>
        <v/>
      </c>
      <c r="C65" s="19">
        <f>C17/C41</f>
        <v/>
      </c>
      <c r="D65" s="19">
        <f>D17/D41</f>
        <v/>
      </c>
      <c r="E65" s="19">
        <f>E17/E41</f>
        <v/>
      </c>
      <c r="F65" s="19">
        <f>F17/F41</f>
        <v/>
      </c>
      <c r="G65" s="19">
        <f>G17/G41</f>
        <v/>
      </c>
      <c r="H65" s="19">
        <f>H17/H41</f>
        <v/>
      </c>
      <c r="I65" s="19">
        <f>I17/I41</f>
        <v/>
      </c>
      <c r="J65" s="19">
        <f>J17/J41</f>
        <v/>
      </c>
      <c r="K65" s="19">
        <f>K17/K41</f>
        <v/>
      </c>
      <c r="L65" s="19">
        <f>L17/L41</f>
        <v/>
      </c>
    </row>
    <row r="66">
      <c r="A66" t="inlineStr">
        <is>
          <t xml:space="preserve">  Debt / Equity</t>
        </is>
      </c>
      <c r="B66" s="25">
        <f>(B33+B44)/B59</f>
        <v/>
      </c>
      <c r="C66" s="25">
        <f>(C33+C44)/C59</f>
        <v/>
      </c>
      <c r="D66" s="25">
        <f>(D33+D44)/D59</f>
        <v/>
      </c>
      <c r="E66" s="25">
        <f>(E33+E44)/E59</f>
        <v/>
      </c>
      <c r="F66" s="25">
        <f>(F33+F44)/F59</f>
        <v/>
      </c>
      <c r="G66" s="25">
        <f>(G33+G44)/G59</f>
        <v/>
      </c>
      <c r="H66" s="25">
        <f>(H33+H44)/H59</f>
        <v/>
      </c>
      <c r="I66" s="25">
        <f>(I33+I44)/I59</f>
        <v/>
      </c>
      <c r="J66" s="25">
        <f>(J33+J44)/J59</f>
        <v/>
      </c>
      <c r="K66" s="25">
        <f>(K33+K44)/K59</f>
        <v/>
      </c>
      <c r="L66" s="25">
        <f>(L33+L44)/L59</f>
        <v/>
      </c>
    </row>
    <row r="67">
      <c r="A67" t="inlineStr">
        <is>
          <t xml:space="preserve">  ROE % (NI to parent / avg equity)</t>
        </is>
      </c>
      <c r="C67" s="10">
        <f>'Income Statement'!C51/((C59+B59)/2)</f>
        <v/>
      </c>
      <c r="D67" s="10">
        <f>'Income Statement'!D51/((D59+C59)/2)</f>
        <v/>
      </c>
      <c r="E67" s="10">
        <f>'Income Statement'!E51/((E59+D59)/2)</f>
        <v/>
      </c>
      <c r="F67" s="10">
        <f>'Income Statement'!F51/((F59+E59)/2)</f>
        <v/>
      </c>
      <c r="G67" s="10">
        <f>'Income Statement'!G51/((G59+F59)/2)</f>
        <v/>
      </c>
      <c r="H67" s="10">
        <f>'Income Statement'!H51/((H59+G59)/2)</f>
        <v/>
      </c>
      <c r="I67" s="10">
        <f>'Income Statement'!I51/((I59+H59)/2)</f>
        <v/>
      </c>
      <c r="J67" s="10">
        <f>'Income Statement'!J51/((J59+I59)/2)</f>
        <v/>
      </c>
      <c r="K67" s="10">
        <f>'Income Statement'!K51/((K59+J59)/2)</f>
        <v/>
      </c>
      <c r="L67" s="10">
        <f>'Income Statement'!L51/((L59+K59)/2)</f>
        <v/>
      </c>
    </row>
    <row r="68">
      <c r="A68" t="inlineStr">
        <is>
          <t xml:space="preserve">  ROIC % (NOPAT / Invested capital)</t>
        </is>
      </c>
      <c r="C68" s="10">
        <f>'Income Statement'!C37*(1-0.12)/((C59+B59)/2+(C33+C44))</f>
        <v/>
      </c>
      <c r="D68" s="10">
        <f>'Income Statement'!D37*(1-0.12)/((D59+C59)/2+(D33+D44))</f>
        <v/>
      </c>
      <c r="E68" s="10">
        <f>'Income Statement'!E37*(1-0.12)/((E59+D59)/2+(E33+E44))</f>
        <v/>
      </c>
      <c r="F68" s="10">
        <f>'Income Statement'!F37*(1-0.12)/((F59+E59)/2+(F33+F44))</f>
        <v/>
      </c>
      <c r="G68" s="10">
        <f>'Income Statement'!G37*(1-0.12)/((G59+F59)/2+(G33+G44))</f>
        <v/>
      </c>
      <c r="H68" s="10">
        <f>'Income Statement'!H37*(1-0.12)/((H59+G59)/2+(H33+H44))</f>
        <v/>
      </c>
      <c r="I68" s="10">
        <f>'Income Statement'!I37*(1-0.12)/((I59+H59)/2+(I33+I44))</f>
        <v/>
      </c>
      <c r="J68" s="10">
        <f>'Income Statement'!J37*(1-0.12)/((J59+I59)/2+(J33+J44))</f>
        <v/>
      </c>
      <c r="K68" s="10">
        <f>'Income Statement'!K37*(1-0.12)/((K59+J59)/2+(K33+K44))</f>
        <v/>
      </c>
      <c r="L68" s="10">
        <f>'Income Statement'!L37*(1-0.12)/((L59+K59)/2+(L33+L44))</f>
        <v/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HENGLI HYDRAULICS — SCENARIO ANALYSIS (FY2030E)</t>
        </is>
      </c>
    </row>
    <row r="3">
      <c r="B3" s="5" t="inlineStr">
        <is>
          <t>Bull</t>
        </is>
      </c>
      <c r="C3" s="5" t="inlineStr">
        <is>
          <t>Base</t>
        </is>
      </c>
      <c r="D3" s="5" t="inlineStr">
        <is>
          <t>Bear</t>
        </is>
      </c>
    </row>
    <row r="5">
      <c r="A5" s="6" t="inlineStr">
        <is>
          <t>KEY ASSUMPTIONS (FY2025A → FY2030E)</t>
        </is>
      </c>
    </row>
    <row r="6">
      <c r="A6" t="inlineStr">
        <is>
          <t>Revenue CAGR (FY25-FY30)</t>
        </is>
      </c>
      <c r="B6" s="26" t="n">
        <v>0.18</v>
      </c>
      <c r="C6" s="26" t="n">
        <v>0.13</v>
      </c>
      <c r="D6" s="26" t="n">
        <v>0.07000000000000001</v>
      </c>
    </row>
    <row r="7">
      <c r="A7" t="inlineStr">
        <is>
          <t>FY2030E revenue (RMB m)</t>
        </is>
      </c>
      <c r="B7" s="11">
        <f>10941.0*(1+B6)^5</f>
        <v/>
      </c>
      <c r="C7" s="11">
        <f>10941.0*(1+C6)^5</f>
        <v/>
      </c>
      <c r="D7" s="11">
        <f>10941.0*(1+D6)^5</f>
        <v/>
      </c>
    </row>
    <row r="8">
      <c r="A8" t="inlineStr">
        <is>
          <t>Gross margin FY30E</t>
        </is>
      </c>
      <c r="B8" s="26" t="n">
        <v>0.45</v>
      </c>
      <c r="C8" s="26" t="n">
        <v>0.435</v>
      </c>
      <c r="D8" s="26" t="n">
        <v>0.405</v>
      </c>
    </row>
    <row r="9">
      <c r="A9" t="inlineStr">
        <is>
          <t>EBITDA margin FY30E</t>
        </is>
      </c>
      <c r="B9" s="26" t="n">
        <v>0.335</v>
      </c>
      <c r="C9" s="26" t="n">
        <v>0.305</v>
      </c>
      <c r="D9" s="26" t="n">
        <v>0.26</v>
      </c>
    </row>
    <row r="10">
      <c r="A10" t="inlineStr">
        <is>
          <t>Net margin FY30E</t>
        </is>
      </c>
      <c r="B10" s="26" t="n">
        <v>0.27</v>
      </c>
      <c r="C10" s="26" t="n">
        <v>0.245</v>
      </c>
      <c r="D10" s="26" t="n">
        <v>0.205</v>
      </c>
    </row>
    <row r="11">
      <c r="A11" t="inlineStr">
        <is>
          <t>CapEx as % of revenue</t>
        </is>
      </c>
      <c r="B11" s="26" t="n">
        <v>0.045</v>
      </c>
      <c r="C11" s="26" t="n">
        <v>0.05</v>
      </c>
      <c r="D11" s="26" t="n">
        <v>0.06</v>
      </c>
    </row>
    <row r="12">
      <c r="A12" t="inlineStr">
        <is>
          <t>WC drag (% of revenue growth)</t>
        </is>
      </c>
      <c r="B12" s="26" t="n">
        <v>0.1</v>
      </c>
      <c r="C12" s="26" t="n">
        <v>0.15</v>
      </c>
      <c r="D12" s="26" t="n">
        <v>0.22</v>
      </c>
    </row>
    <row r="13">
      <c r="A13" t="inlineStr">
        <is>
          <t>Linear-drive revenue FY30E (RMB m)</t>
        </is>
      </c>
      <c r="B13" s="7" t="n">
        <v>4500</v>
      </c>
      <c r="C13" s="7" t="n">
        <v>2300</v>
      </c>
      <c r="D13" s="7" t="n">
        <v>800</v>
      </c>
    </row>
    <row r="14">
      <c r="A14" t="inlineStr">
        <is>
          <t>Linear-drive gross margin FY30E</t>
        </is>
      </c>
      <c r="B14" s="26" t="n">
        <v>0.28</v>
      </c>
      <c r="C14" s="26" t="n">
        <v>0.22</v>
      </c>
      <c r="D14" s="26" t="n">
        <v>0.15</v>
      </c>
    </row>
    <row r="17">
      <c r="A17" s="6" t="inlineStr">
        <is>
          <t>FY2030E OUTPUTS</t>
        </is>
      </c>
    </row>
    <row r="18">
      <c r="A18" s="2" t="inlineStr">
        <is>
          <t>Revenue FY30E</t>
        </is>
      </c>
      <c r="B18" s="27">
        <f>B7</f>
        <v/>
      </c>
      <c r="C18" s="28">
        <f>C7</f>
        <v/>
      </c>
      <c r="D18" s="29">
        <f>D7</f>
        <v/>
      </c>
    </row>
    <row r="19">
      <c r="A19" s="2" t="inlineStr">
        <is>
          <t>Gross profit FY30E</t>
        </is>
      </c>
      <c r="B19" s="27">
        <f>B7*B8</f>
        <v/>
      </c>
      <c r="C19" s="28">
        <f>C7*C8</f>
        <v/>
      </c>
      <c r="D19" s="29">
        <f>D7*D8</f>
        <v/>
      </c>
    </row>
    <row r="20">
      <c r="A20" s="2" t="inlineStr">
        <is>
          <t>EBITDA FY30E</t>
        </is>
      </c>
      <c r="B20" s="27">
        <f>B7*B9</f>
        <v/>
      </c>
      <c r="C20" s="28">
        <f>C7*C9</f>
        <v/>
      </c>
      <c r="D20" s="29">
        <f>D7*D9</f>
        <v/>
      </c>
    </row>
    <row r="21">
      <c r="A21" s="2" t="inlineStr">
        <is>
          <t>Net income FY30E</t>
        </is>
      </c>
      <c r="B21" s="27">
        <f>B7*B10</f>
        <v/>
      </c>
      <c r="C21" s="28">
        <f>C7*C10</f>
        <v/>
      </c>
      <c r="D21" s="29">
        <f>D7*D10</f>
        <v/>
      </c>
    </row>
    <row r="22">
      <c r="A22" s="2" t="inlineStr">
        <is>
          <t>FCF FY30E (approx: EBITDA - CapEx - tax)</t>
        </is>
      </c>
      <c r="B22" s="27">
        <f>B7*B9-B7*B11-B7*B10*0.13</f>
        <v/>
      </c>
      <c r="C22" s="28">
        <f>C7*C9-C7*C11-C7*C10*0.13</f>
        <v/>
      </c>
      <c r="D22" s="29">
        <f>D7*D9-D7*D11-D7*D10*0.13</f>
        <v/>
      </c>
    </row>
    <row r="23">
      <c r="A23" s="2" t="inlineStr">
        <is>
          <t>EPS FY30E (NI / 1,340.8m shares)</t>
        </is>
      </c>
      <c r="B23" s="30">
        <f>B7*B10/1340.8</f>
        <v/>
      </c>
      <c r="C23" s="31">
        <f>C7*C10/1340.8</f>
        <v/>
      </c>
      <c r="D23" s="32">
        <f>D7*D10/1340.8</f>
        <v/>
      </c>
    </row>
    <row r="26">
      <c r="A26" s="2" t="inlineStr">
        <is>
          <t>Cumulative FCF FY2026-FY2030E (RMB m)</t>
        </is>
      </c>
      <c r="B26" s="33" t="n">
        <v>9500</v>
      </c>
      <c r="C26" s="33" t="n">
        <v>6800</v>
      </c>
      <c r="D26" s="33" t="n">
        <v>3800</v>
      </c>
    </row>
    <row r="28">
      <c r="A28" s="6" t="inlineStr">
        <is>
          <t>SCENARIO RATIONALE</t>
        </is>
      </c>
    </row>
    <row r="29" ht="60" customHeight="1">
      <c r="A29" s="2" t="inlineStr">
        <is>
          <t>Bull</t>
        </is>
      </c>
      <c r="B29" s="3" t="inlineStr">
        <is>
          <t>Excavator up-cycle 2026-2028 + linear-drive humanoid wild-card hits (Optimus or major Chinese humanoid program qualified-supplier status); Mexico plant ramps to &gt;$300m/yr; pumps &amp; valves share-gain accelerates to 25%+ on Bosch Rexroth retreat. Revenue &gt;$24bn, EBITDA margin 33-34%.</t>
        </is>
      </c>
    </row>
    <row r="31" ht="60" customHeight="1">
      <c r="A31" s="2" t="inlineStr">
        <is>
          <t>Base</t>
        </is>
      </c>
      <c r="B31" s="3" t="inlineStr">
        <is>
          <t>China hydraulics 8% market CAGR; Hengli outperforms at 13% CAGR via continued share gain and linear-drive ramp to ~RMB 2.3bn (mgmt-implied path). Margins stable at 30-31% EBITDA. Revenue ~RMB 20bn by FY30E.</t>
        </is>
      </c>
    </row>
    <row r="33" ht="60" customHeight="1">
      <c r="A33" s="2" t="inlineStr">
        <is>
          <t>Bear</t>
        </is>
      </c>
      <c r="B33" s="3" t="inlineStr">
        <is>
          <t>Cyclical excavator down-cycle returns 2027-28; Caterpillar in-sources &gt;50% cylinder content; linear-drive ramp stalls (no humanoid qualified-supplier); China hydraulics market grows only 3-5%. Revenue ~RMB 15bn, EBITDA margin compresses to 26%.</t>
        </is>
      </c>
    </row>
  </sheetData>
  <mergeCells count="7">
    <mergeCell ref="B33:D33"/>
    <mergeCell ref="A5:D5"/>
    <mergeCell ref="A17:D17"/>
    <mergeCell ref="B31:D31"/>
    <mergeCell ref="A1:H1"/>
    <mergeCell ref="B29:D29"/>
    <mergeCell ref="A28:D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HENGLI HYDRAULICS — DCF INPUTS (RMB millions)</t>
        </is>
      </c>
    </row>
    <row r="3">
      <c r="B3" s="5" t="inlineStr">
        <is>
          <t>FY2026E</t>
        </is>
      </c>
      <c r="C3" s="5" t="inlineStr">
        <is>
          <t>FY2027E</t>
        </is>
      </c>
      <c r="D3" s="5" t="inlineStr">
        <is>
          <t>FY2028E</t>
        </is>
      </c>
      <c r="E3" s="5" t="inlineStr">
        <is>
          <t>FY2029E</t>
        </is>
      </c>
      <c r="F3" s="5" t="inlineStr">
        <is>
          <t>FY2030E</t>
        </is>
      </c>
      <c r="G3" s="5" t="inlineStr">
        <is>
          <t>Terminal</t>
        </is>
      </c>
    </row>
    <row r="5">
      <c r="A5" t="inlineStr">
        <is>
          <t>EBIT (from Income Statement)</t>
        </is>
      </c>
      <c r="B5" s="15">
        <f>'Income Statement'!H37</f>
        <v/>
      </c>
      <c r="C5" s="15">
        <f>'Income Statement'!I37</f>
        <v/>
      </c>
      <c r="D5" s="15">
        <f>'Income Statement'!J37</f>
        <v/>
      </c>
      <c r="E5" s="15">
        <f>'Income Statement'!K37</f>
        <v/>
      </c>
      <c r="F5" s="15">
        <f>'Income Statement'!L37</f>
        <v/>
      </c>
    </row>
    <row r="6">
      <c r="A6" t="inlineStr">
        <is>
          <t>Effective tax rate %</t>
        </is>
      </c>
      <c r="B6" s="26" t="n">
        <v>0.115</v>
      </c>
      <c r="C6" s="26" t="n">
        <v>0.115</v>
      </c>
      <c r="D6" s="26" t="n">
        <v>0.12</v>
      </c>
      <c r="E6" s="26" t="n">
        <v>0.12</v>
      </c>
      <c r="F6" s="26" t="n">
        <v>0.125</v>
      </c>
      <c r="G6" s="26" t="n">
        <v>0.125</v>
      </c>
    </row>
    <row r="7">
      <c r="A7" s="2" t="inlineStr">
        <is>
          <t>NOPAT (EBIT × (1-t))</t>
        </is>
      </c>
      <c r="B7" s="34">
        <f>B5*(1-B6)</f>
        <v/>
      </c>
      <c r="C7" s="34">
        <f>C5*(1-C6)</f>
        <v/>
      </c>
      <c r="D7" s="34">
        <f>D5*(1-D6)</f>
        <v/>
      </c>
      <c r="E7" s="34">
        <f>E5*(1-E6)</f>
        <v/>
      </c>
      <c r="F7" s="34">
        <f>F5*(1-F6)</f>
        <v/>
      </c>
    </row>
    <row r="9">
      <c r="A9" t="inlineStr">
        <is>
          <t>+ D&amp;A (from IS)</t>
        </is>
      </c>
      <c r="B9" s="15">
        <f>'Income Statement'!H35</f>
        <v/>
      </c>
      <c r="C9" s="15">
        <f>'Income Statement'!I35</f>
        <v/>
      </c>
      <c r="D9" s="15">
        <f>'Income Statement'!J35</f>
        <v/>
      </c>
      <c r="E9" s="15">
        <f>'Income Statement'!K35</f>
        <v/>
      </c>
      <c r="F9" s="15">
        <f>'Income Statement'!L35</f>
        <v/>
      </c>
    </row>
    <row r="10">
      <c r="A10" t="inlineStr">
        <is>
          <t>− CapEx (from CF)</t>
        </is>
      </c>
      <c r="B10" s="15">
        <f>-'Cash Flow'!H13</f>
        <v/>
      </c>
      <c r="C10" s="15">
        <f>-'Cash Flow'!I13</f>
        <v/>
      </c>
      <c r="D10" s="15">
        <f>-'Cash Flow'!J13</f>
        <v/>
      </c>
      <c r="E10" s="15">
        <f>-'Cash Flow'!K13</f>
        <v/>
      </c>
      <c r="F10" s="15">
        <f>-'Cash Flow'!L13</f>
        <v/>
      </c>
    </row>
    <row r="11">
      <c r="A11" t="inlineStr">
        <is>
          <t>− Change in NWC</t>
        </is>
      </c>
      <c r="B11" s="7" t="n">
        <v>280</v>
      </c>
      <c r="C11" s="7" t="n">
        <v>260</v>
      </c>
      <c r="D11" s="7" t="n">
        <v>310</v>
      </c>
      <c r="E11" s="7" t="n">
        <v>290</v>
      </c>
      <c r="F11" s="7" t="n">
        <v>270</v>
      </c>
    </row>
    <row r="12">
      <c r="A12" s="12" t="inlineStr">
        <is>
          <t>UNLEVERED FREE CASH FLOW</t>
        </is>
      </c>
      <c r="B12" s="23">
        <f>B7+B9-B10-B11</f>
        <v/>
      </c>
      <c r="C12" s="23">
        <f>C7+C9-C10-C11</f>
        <v/>
      </c>
      <c r="D12" s="23">
        <f>D7+D9-D10-D11</f>
        <v/>
      </c>
      <c r="E12" s="23">
        <f>E7+E9-E10-E11</f>
        <v/>
      </c>
      <c r="F12" s="23">
        <f>F7+F9-F10-F11</f>
        <v/>
      </c>
    </row>
    <row r="15">
      <c r="A15" s="6" t="inlineStr">
        <is>
          <t>TERMINAL &amp; VALUATION INPUTS</t>
        </is>
      </c>
    </row>
    <row r="16">
      <c r="A16" t="inlineStr">
        <is>
          <t>Terminal-year revenue (FY30E)</t>
        </is>
      </c>
      <c r="B16" s="15">
        <f>'Income Statement'!L5</f>
        <v/>
      </c>
    </row>
    <row r="17">
      <c r="A17" t="inlineStr">
        <is>
          <t>Terminal-year EBITDA (FY30E)</t>
        </is>
      </c>
      <c r="B17" s="15">
        <f>'Income Statement'!L39</f>
        <v/>
      </c>
    </row>
    <row r="18">
      <c r="A18" t="inlineStr">
        <is>
          <t>Terminal-year EBIT (FY30E)</t>
        </is>
      </c>
      <c r="B18" s="15">
        <f>'Income Statement'!L37</f>
        <v/>
      </c>
    </row>
    <row r="19">
      <c r="A19" t="inlineStr">
        <is>
          <t>Terminal-year UFCF (FY30E)</t>
        </is>
      </c>
      <c r="B19" s="15">
        <f>F12</f>
        <v/>
      </c>
    </row>
    <row r="20">
      <c r="A20" t="inlineStr"/>
    </row>
    <row r="21">
      <c r="A21" t="inlineStr">
        <is>
          <t>Risk-free rate (China 10Y govt, %)</t>
        </is>
      </c>
      <c r="B21" s="26" t="n">
        <v>0.025</v>
      </c>
    </row>
    <row r="22">
      <c r="A22" t="inlineStr">
        <is>
          <t>Equity risk premium (%)</t>
        </is>
      </c>
      <c r="B22" s="26" t="n">
        <v>0.06</v>
      </c>
    </row>
    <row r="23">
      <c r="A23" t="inlineStr">
        <is>
          <t>Beta (vs SSE Composite, 2y weekly)</t>
        </is>
      </c>
      <c r="B23" s="20" t="n">
        <v>1.05</v>
      </c>
    </row>
    <row r="24">
      <c r="A24" s="2" t="inlineStr">
        <is>
          <t>Cost of equity (Ke)</t>
        </is>
      </c>
      <c r="B24" s="35">
        <f>B21+B23*B22</f>
        <v/>
      </c>
    </row>
    <row r="25">
      <c r="A25" t="inlineStr">
        <is>
          <t>Pre-tax cost of debt (Kd)</t>
        </is>
      </c>
      <c r="B25" s="36" t="n">
        <v>0.035</v>
      </c>
    </row>
    <row r="26">
      <c r="A26" t="inlineStr">
        <is>
          <t>Effective marginal tax rate</t>
        </is>
      </c>
      <c r="B26" s="26" t="n">
        <v>0.125</v>
      </c>
    </row>
    <row r="27">
      <c r="A27" s="2" t="inlineStr">
        <is>
          <t>After-tax cost of debt</t>
        </is>
      </c>
      <c r="B27" s="35">
        <f>B25*(1-B26)</f>
        <v/>
      </c>
    </row>
    <row r="28">
      <c r="A28" t="inlineStr">
        <is>
          <t>Target debt weight</t>
        </is>
      </c>
      <c r="B28" s="26" t="n">
        <v>0.05</v>
      </c>
    </row>
    <row r="29">
      <c r="A29" t="inlineStr">
        <is>
          <t>Target equity weight</t>
        </is>
      </c>
      <c r="B29" s="26" t="n">
        <v>0.95</v>
      </c>
    </row>
    <row r="30">
      <c r="A30" s="2" t="inlineStr">
        <is>
          <t>WACC</t>
        </is>
      </c>
      <c r="B30" s="37">
        <f>B29*B24+B28*B27</f>
        <v/>
      </c>
    </row>
    <row r="31">
      <c r="A31" t="inlineStr">
        <is>
          <t>Terminal growth rate (g)</t>
        </is>
      </c>
      <c r="B31" s="26" t="n">
        <v>0.03</v>
      </c>
    </row>
    <row r="32">
      <c r="A32" t="inlineStr">
        <is>
          <t>Mid-year convention</t>
        </is>
      </c>
      <c r="B32" s="36" t="inlineStr">
        <is>
          <t>Yes</t>
        </is>
      </c>
    </row>
    <row r="35" ht="50" customHeight="1">
      <c r="A35" s="38" t="inlineStr">
        <is>
          <t>NOTE: These DCF inputs feed Task 3 (Valuation). The Task 3 worksheet will build Enterprise Value via DCF (sum of discounted UFCF + discounted terminal value), with sensitivity table on WACC × terminal growth.</t>
        </is>
      </c>
    </row>
  </sheetData>
  <mergeCells count="3">
    <mergeCell ref="A1:G1"/>
    <mergeCell ref="A35:G35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2026-05-19T18:56:27Z</dcterms:created>
  <dcterms:modified xmlns:dcterms="http://purl.org/dc/terms/" xmlns:xsi="http://www.w3.org/2001/XMLSchema-instance" xsi:type="dcterms:W3CDTF">2026-05-19T18:56:27Z</dcterms:modified>
</cp:coreProperties>
</file>