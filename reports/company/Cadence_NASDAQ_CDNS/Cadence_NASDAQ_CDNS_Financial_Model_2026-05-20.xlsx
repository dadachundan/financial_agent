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venue Model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Balance Sheet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CF Inputs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DCF Sensitivity" sheetId="9" state="visible" r:id="rId9"/>
    <sheet xmlns:r="http://schemas.openxmlformats.org/officeDocument/2006/relationships" name="Comparable Companies" sheetId="10" state="visible" r:id="rId10"/>
    <sheet xmlns:r="http://schemas.openxmlformats.org/officeDocument/2006/relationships" name="Valuation 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;(0.0%);&quot;-&quot;"/>
    <numFmt numFmtId="165" formatCode="#,##0;(#,##0);&quot;-&quot;"/>
    <numFmt numFmtId="166" formatCode="$#,##0.00;($#,##0.00);&quot;-&quot;"/>
    <numFmt numFmtId="167" formatCode="#,##0.0;(#,##0.0);&quot;-&quot;"/>
    <numFmt numFmtId="168" formatCode="0.0000"/>
    <numFmt numFmtId="169" formatCode="0.0&quot;x&quot;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name val="Calibri"/>
      <b val="1"/>
      <color rgb="00FFFFFF"/>
      <sz val="11"/>
    </font>
    <font>
      <name val="Calibri"/>
      <b val="1"/>
      <color rgb="001F4E78"/>
      <sz val="11"/>
    </font>
    <font>
      <name val="Calibri"/>
      <sz val="11"/>
    </font>
    <font>
      <name val="Calibri"/>
      <b val="1"/>
      <sz val="11"/>
    </font>
    <font>
      <name val="Calibri"/>
      <i val="1"/>
      <color rgb="00595959"/>
      <sz val="11"/>
    </font>
    <font>
      <b val="1"/>
      <color rgb="001F4E78"/>
      <sz val="16"/>
    </font>
    <font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medium">
        <color rgb="00333333"/>
      </bottom>
    </border>
    <border>
      <top style="thin">
        <color rgb="00999999"/>
      </top>
      <bottom style="medium">
        <color rgb="00333333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0" borderId="0" applyAlignment="1" pivotButton="0" quotePrefix="0" xfId="0">
      <alignment horizontal="left" indent="1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0" fontId="5" fillId="5" borderId="0" applyAlignment="1" pivotButton="0" quotePrefix="0" xfId="0">
      <alignment horizontal="left" indent="1"/>
    </xf>
    <xf numFmtId="165" fontId="5" fillId="5" borderId="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6" fontId="4" fillId="4" borderId="0" applyAlignment="1" pivotButton="0" quotePrefix="0" xfId="0">
      <alignment horizontal="right"/>
    </xf>
    <xf numFmtId="0" fontId="5" fillId="6" borderId="0" pivotButton="0" quotePrefix="0" xfId="0"/>
    <xf numFmtId="165" fontId="0" fillId="6" borderId="0" pivotButton="0" quotePrefix="0" xfId="0"/>
    <xf numFmtId="164" fontId="0" fillId="6" borderId="0" pivotButton="0" quotePrefix="0" xfId="0"/>
    <xf numFmtId="0" fontId="5" fillId="7" borderId="0" pivotButton="0" quotePrefix="0" xfId="0"/>
    <xf numFmtId="165" fontId="0" fillId="7" borderId="0" pivotButton="0" quotePrefix="0" xfId="0"/>
    <xf numFmtId="164" fontId="0" fillId="7" borderId="0" pivotButton="0" quotePrefix="0" xfId="0"/>
    <xf numFmtId="0" fontId="5" fillId="8" borderId="0" pivotButton="0" quotePrefix="0" xfId="0"/>
    <xf numFmtId="165" fontId="0" fillId="8" borderId="0" pivotButton="0" quotePrefix="0" xfId="0"/>
    <xf numFmtId="164" fontId="0" fillId="8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5" fontId="5" fillId="5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0" fontId="5" fillId="0" borderId="0" pivotButton="0" quotePrefix="0" xfId="0"/>
    <xf numFmtId="165" fontId="5" fillId="0" borderId="0" pivotButton="0" quotePrefix="0" xfId="0"/>
    <xf numFmtId="0" fontId="5" fillId="5" borderId="0" pivotButton="0" quotePrefix="0" xfId="0"/>
    <xf numFmtId="167" fontId="4" fillId="0" borderId="0" applyAlignment="1" pivotButton="0" quotePrefix="0" xfId="0">
      <alignment horizontal="right"/>
    </xf>
    <xf numFmtId="166" fontId="5" fillId="5" borderId="0" applyAlignment="1" pivotButton="0" quotePrefix="0" xfId="0">
      <alignment horizontal="right"/>
    </xf>
    <xf numFmtId="164" fontId="5" fillId="5" borderId="0" applyAlignment="1" pivotButton="0" quotePrefix="0" xfId="0">
      <alignment horizontal="right"/>
    </xf>
    <xf numFmtId="0" fontId="3" fillId="3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applyAlignment="1" pivotButton="0" quotePrefix="0" xfId="0">
      <alignment horizontal="right"/>
    </xf>
    <xf numFmtId="169" fontId="5" fillId="5" borderId="0" pivotButton="0" quotePrefix="0" xfId="0"/>
    <xf numFmtId="164" fontId="5" fillId="5" borderId="0" pivotButton="0" quotePrefix="0" xfId="0"/>
    <xf numFmtId="169" fontId="4" fillId="0" borderId="0" pivotButton="0" quotePrefix="0" xfId="0"/>
    <xf numFmtId="164" fontId="4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5" fillId="5" borderId="0" pivotButton="0" quotePrefix="0" xfId="0"/>
    <xf numFmtId="49" fontId="5" fillId="5" borderId="0" applyAlignment="1" pivotButton="0" quotePrefix="0" xfId="0">
      <alignment horizontal="right"/>
    </xf>
    <xf numFmtId="49" fontId="4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Cadence – Financial Model</t>
        </is>
      </c>
    </row>
    <row r="2">
      <c r="A2" s="2" t="inlineStr">
        <is>
          <t>Equity research initiation – Task 2 deliverable</t>
        </is>
      </c>
    </row>
    <row r="4">
      <c r="A4" s="3" t="inlineStr">
        <is>
          <t>Ticker: NASDAQ:CDNS | FY ends December</t>
        </is>
      </c>
    </row>
    <row r="5">
      <c r="A5" s="3" t="inlineStr">
        <is>
          <t>Source: FY2025 10-K (filed 2026-02-19), FY2022 10-K (FY21/FY22 historicals)</t>
        </is>
      </c>
    </row>
    <row r="6">
      <c r="A6" s="3" t="inlineStr">
        <is>
          <t>Currency: USD thousands unless noted</t>
        </is>
      </c>
    </row>
    <row r="7">
      <c r="A7" s="3" t="inlineStr">
        <is>
          <t>Historical years: FY2021-FY2025 (5 yrs)</t>
        </is>
      </c>
    </row>
    <row r="8">
      <c r="A8" s="3" t="inlineStr">
        <is>
          <t>Projection years: FY2026E-FY2030E (5 yrs)</t>
        </is>
      </c>
    </row>
    <row r="9">
      <c r="A9" s="3" t="inlineStr">
        <is>
          <t>Key projection assumptions:</t>
        </is>
      </c>
    </row>
    <row r="10">
      <c r="A10" s="3" t="inlineStr">
        <is>
          <t xml:space="preserve">  • Revenue growth: 14% → 10% (FY26-FY30); guided FY26 ~14%</t>
        </is>
      </c>
    </row>
    <row r="11">
      <c r="A11" s="3" t="inlineStr">
        <is>
          <t xml:space="preserve">  • GAAP op margin: 30.5% → 34% as BIS contingent charge non-recurring</t>
        </is>
      </c>
    </row>
    <row r="12">
      <c r="A12" s="3" t="inlineStr">
        <is>
          <t xml:space="preserve">  • Tax rate: 26.5%</t>
        </is>
      </c>
    </row>
    <row r="13">
      <c r="A13" s="3" t="inlineStr">
        <is>
          <t xml:space="preserve">  • Capex: ~2.7% of revenue</t>
        </is>
      </c>
    </row>
    <row r="14">
      <c r="A14" s="3" t="inlineStr">
        <is>
          <t xml:space="preserve">  • Shares: 273M declining via buyback ($1.2B-$1.6B/yr)</t>
        </is>
      </c>
    </row>
    <row r="15">
      <c r="A15" s="3" t="inlineStr">
        <is>
          <t>Segment categories (% of revenue, FY25): Core EDA 70%, IP 14%, SD&amp;A 16%</t>
        </is>
      </c>
    </row>
    <row r="16">
      <c r="A16" s="3" t="inlineStr">
        <is>
          <t>Geography (% of revenue, FY25): US 44%, China 13%, Other Asia 19%, EMEA 15%, Japan 6%, Other Americas 3%</t>
        </is>
      </c>
    </row>
    <row r="17">
      <c r="A17" s="3" t="inlineStr">
        <is>
          <t>Tabs:</t>
        </is>
      </c>
    </row>
    <row r="18">
      <c r="A18" s="3" t="inlineStr">
        <is>
          <t xml:space="preserve">  Revenue Model    – product/category mix + geographic split</t>
        </is>
      </c>
    </row>
    <row r="19">
      <c r="A19" s="3" t="inlineStr">
        <is>
          <t xml:space="preserve">  Income Statement – 5y historical + 5y projected P&amp;L</t>
        </is>
      </c>
    </row>
    <row r="20">
      <c r="A20" s="3" t="inlineStr">
        <is>
          <t xml:space="preserve">  Cash Flow        – Operating/Investing/Financing + FCF build</t>
        </is>
      </c>
    </row>
    <row r="21">
      <c r="A21" s="3" t="inlineStr">
        <is>
          <t xml:space="preserve">  Balance Sheet    – Assets/Liabilities/Equity + key ratios</t>
        </is>
      </c>
    </row>
    <row r="22">
      <c r="A22" s="3" t="inlineStr">
        <is>
          <t xml:space="preserve">  Scenarios        – Bull/Base/Bear revenue &amp; op-income paths</t>
        </is>
      </c>
    </row>
    <row r="23">
      <c r="A23" s="3" t="inlineStr">
        <is>
          <t xml:space="preserve">  DCF Inputs       – Unlevered FCF, WACC components, backlog/RPO for Task 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Cadence – REVENUE MODEL ($000s unless noted)</t>
        </is>
      </c>
    </row>
    <row r="3">
      <c r="A3" s="5" t="inlineStr"/>
      <c r="B3" s="5" t="inlineStr">
        <is>
          <t>FY2021</t>
        </is>
      </c>
      <c r="C3" s="5" t="inlineStr">
        <is>
          <t>FY2022</t>
        </is>
      </c>
      <c r="D3" s="5" t="inlineStr">
        <is>
          <t>FY2023</t>
        </is>
      </c>
      <c r="E3" s="5" t="inlineStr">
        <is>
          <t>FY2024</t>
        </is>
      </c>
      <c r="F3" s="5" t="inlineStr">
        <is>
          <t>FY2025</t>
        </is>
      </c>
      <c r="G3" s="5" t="inlineStr">
        <is>
          <t>FY2026E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</row>
    <row r="4">
      <c r="A4" s="6" t="inlineStr">
        <is>
          <t>PRODUCT MIX (% of total revenue)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inlineStr">
        <is>
          <t>Core EDA</t>
        </is>
      </c>
      <c r="B5" s="9" t="n"/>
      <c r="C5" s="9" t="n"/>
      <c r="D5" s="9" t="n">
        <v>0.76</v>
      </c>
      <c r="E5" s="9" t="n">
        <v>0.71</v>
      </c>
      <c r="F5" s="9" t="n">
        <v>0.7</v>
      </c>
      <c r="G5" s="10" t="n">
        <v>0.6899999999999999</v>
      </c>
      <c r="H5" s="10" t="n">
        <v>0.68</v>
      </c>
      <c r="I5" s="10" t="n">
        <v>0.67</v>
      </c>
      <c r="J5" s="10" t="n">
        <v>0.66</v>
      </c>
      <c r="K5" s="10" t="n">
        <v>0.65</v>
      </c>
    </row>
    <row r="6">
      <c r="A6" s="8" t="inlineStr">
        <is>
          <t>Semiconductor IP</t>
        </is>
      </c>
      <c r="B6" s="9" t="n"/>
      <c r="C6" s="9" t="n"/>
      <c r="D6" s="9" t="n">
        <v>0.12</v>
      </c>
      <c r="E6" s="9" t="n">
        <v>0.13</v>
      </c>
      <c r="F6" s="9" t="n">
        <v>0.14</v>
      </c>
      <c r="G6" s="10" t="n">
        <v>0.15</v>
      </c>
      <c r="H6" s="10" t="n">
        <v>0.16</v>
      </c>
      <c r="I6" s="10" t="n">
        <v>0.17</v>
      </c>
      <c r="J6" s="10" t="n">
        <v>0.18</v>
      </c>
      <c r="K6" s="10" t="n">
        <v>0.18</v>
      </c>
    </row>
    <row r="7">
      <c r="A7" s="8" t="inlineStr">
        <is>
          <t>System Design &amp; Analysis</t>
        </is>
      </c>
      <c r="B7" s="9" t="n"/>
      <c r="C7" s="9" t="n"/>
      <c r="D7" s="9" t="n">
        <v>0.12</v>
      </c>
      <c r="E7" s="9" t="n">
        <v>0.16</v>
      </c>
      <c r="F7" s="9" t="n">
        <v>0.16</v>
      </c>
      <c r="G7" s="10" t="n">
        <v>0.16</v>
      </c>
      <c r="H7" s="10" t="n">
        <v>0.16</v>
      </c>
      <c r="I7" s="10" t="n">
        <v>0.16</v>
      </c>
      <c r="J7" s="10" t="n">
        <v>0.16</v>
      </c>
      <c r="K7" s="10" t="n">
        <v>0.17</v>
      </c>
    </row>
    <row r="9">
      <c r="A9" s="6" t="inlineStr">
        <is>
          <t>PRODUCT MIX (revenue $000s)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8" t="inlineStr">
        <is>
          <t>Core EDA</t>
        </is>
      </c>
      <c r="B10" s="11" t="n"/>
      <c r="C10" s="11" t="n"/>
      <c r="D10" s="11" t="n">
        <v>3108389.36</v>
      </c>
      <c r="E10" s="11" t="n">
        <v>3295297.44</v>
      </c>
      <c r="F10" s="11" t="n">
        <v>3707731.3</v>
      </c>
      <c r="G10" s="12" t="n">
        <v>4166430.6294</v>
      </c>
      <c r="H10" s="12" t="n">
        <v>4639833.761784</v>
      </c>
      <c r="I10" s="12" t="n">
        <v>5120193.021827522</v>
      </c>
      <c r="J10" s="12" t="n">
        <v>5598587.175807227</v>
      </c>
      <c r="K10" s="12" t="n">
        <v>6065136.107124497</v>
      </c>
    </row>
    <row r="11">
      <c r="A11" s="8" t="inlineStr">
        <is>
          <t>Semiconductor IP</t>
        </is>
      </c>
      <c r="B11" s="11" t="n"/>
      <c r="C11" s="11" t="n"/>
      <c r="D11" s="11" t="n">
        <v>490798.32</v>
      </c>
      <c r="E11" s="11" t="n">
        <v>603364.3200000001</v>
      </c>
      <c r="F11" s="11" t="n">
        <v>741546.2600000001</v>
      </c>
      <c r="G11" s="12" t="n">
        <v>905745.7890000001</v>
      </c>
      <c r="H11" s="12" t="n">
        <v>1091725.591008</v>
      </c>
      <c r="I11" s="12" t="n">
        <v>1299153.45329952</v>
      </c>
      <c r="J11" s="12" t="n">
        <v>1526887.411583789</v>
      </c>
      <c r="K11" s="12" t="n">
        <v>1679576.152742168</v>
      </c>
    </row>
    <row r="12">
      <c r="A12" s="8" t="inlineStr">
        <is>
          <t>System Design &amp; Analysis</t>
        </is>
      </c>
      <c r="B12" s="11" t="n"/>
      <c r="C12" s="11" t="n"/>
      <c r="D12" s="11" t="n">
        <v>490798.32</v>
      </c>
      <c r="E12" s="11" t="n">
        <v>742602.24</v>
      </c>
      <c r="F12" s="11" t="n">
        <v>847481.4400000001</v>
      </c>
      <c r="G12" s="12" t="n">
        <v>966128.8416000002</v>
      </c>
      <c r="H12" s="12" t="n">
        <v>1091725.591008</v>
      </c>
      <c r="I12" s="12" t="n">
        <v>1222732.66192896</v>
      </c>
      <c r="J12" s="12" t="n">
        <v>1357233.254741146</v>
      </c>
      <c r="K12" s="12" t="n">
        <v>1586266.366478715</v>
      </c>
    </row>
    <row r="14">
      <c r="A14" s="6" t="inlineStr">
        <is>
          <t>REVENUE BY TYPE ($000s)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8" t="inlineStr">
        <is>
          <t>Product and maintenance</t>
        </is>
      </c>
      <c r="B15" s="11" t="n">
        <v>2812947</v>
      </c>
      <c r="C15" s="11" t="n">
        <v>3340197</v>
      </c>
      <c r="D15" s="11" t="n">
        <v>3834359</v>
      </c>
      <c r="E15" s="11" t="n">
        <v>4213509</v>
      </c>
      <c r="F15" s="11" t="n">
        <v>4821589</v>
      </c>
      <c r="G15" s="12" t="n">
        <v>5494857.786600001</v>
      </c>
      <c r="H15" s="12" t="n">
        <v>6209189.298858001</v>
      </c>
      <c r="I15" s="12" t="n">
        <v>6954292.014720961</v>
      </c>
      <c r="J15" s="12" t="n">
        <v>7719264.136340268</v>
      </c>
      <c r="K15" s="12" t="n">
        <v>8491190.549974296</v>
      </c>
    </row>
    <row r="16">
      <c r="A16" s="8" t="inlineStr">
        <is>
          <t>Services</t>
        </is>
      </c>
      <c r="B16" s="11" t="n">
        <v>175297</v>
      </c>
      <c r="C16" s="11" t="n">
        <v>221521</v>
      </c>
      <c r="D16" s="11" t="n">
        <v>255627</v>
      </c>
      <c r="E16" s="11" t="n">
        <v>427755</v>
      </c>
      <c r="F16" s="11" t="n">
        <v>475170</v>
      </c>
      <c r="G16" s="12" t="n">
        <v>543447.4734</v>
      </c>
      <c r="H16" s="12" t="n">
        <v>614095.644942</v>
      </c>
      <c r="I16" s="12" t="n">
        <v>687787.1223350401</v>
      </c>
      <c r="J16" s="12" t="n">
        <v>763443.7057918946</v>
      </c>
      <c r="K16" s="12" t="n">
        <v>839788.0763710841</v>
      </c>
    </row>
    <row r="17">
      <c r="A17" s="13" t="inlineStr">
        <is>
          <t>Total revenue</t>
        </is>
      </c>
      <c r="B17" s="14" t="n">
        <v>2988244</v>
      </c>
      <c r="C17" s="14" t="n">
        <v>3561718</v>
      </c>
      <c r="D17" s="14" t="n">
        <v>4089986</v>
      </c>
      <c r="E17" s="14" t="n">
        <v>4641264</v>
      </c>
      <c r="F17" s="14" t="n">
        <v>5296759</v>
      </c>
      <c r="G17" s="14" t="n">
        <v>6038305.260000001</v>
      </c>
      <c r="H17" s="14" t="n">
        <v>6823284.9438</v>
      </c>
      <c r="I17" s="14" t="n">
        <v>7642079.137056001</v>
      </c>
      <c r="J17" s="14" t="n">
        <v>8482707.842132162</v>
      </c>
      <c r="K17" s="14" t="n">
        <v>9330978.626345379</v>
      </c>
    </row>
    <row r="19">
      <c r="A19" s="6" t="inlineStr">
        <is>
          <t>GROWTH RATES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8" t="inlineStr">
        <is>
          <t>Total revenue YoY growth</t>
        </is>
      </c>
      <c r="B20" s="9" t="n"/>
      <c r="C20" s="9" t="n">
        <v>0.1919100314432154</v>
      </c>
      <c r="D20" s="9" t="n">
        <v>0.1483183115563893</v>
      </c>
      <c r="E20" s="9" t="n">
        <v>0.1347872584404934</v>
      </c>
      <c r="F20" s="9" t="n">
        <v>0.1412320005929419</v>
      </c>
      <c r="G20" s="10" t="n">
        <v>0.1400000000000001</v>
      </c>
      <c r="H20" s="10" t="n">
        <v>0.1299999999999999</v>
      </c>
      <c r="I20" s="10" t="n">
        <v>0.1200000000000001</v>
      </c>
      <c r="J20" s="10" t="n">
        <v>0.1100000000000001</v>
      </c>
      <c r="K20" s="10" t="n">
        <v>0.1000000000000001</v>
      </c>
    </row>
    <row r="22">
      <c r="A22" s="6" t="inlineStr">
        <is>
          <t>GEOGRAPHIC MIX ($000s)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8" t="inlineStr">
        <is>
          <t>United States</t>
        </is>
      </c>
      <c r="B23" s="11" t="n"/>
      <c r="C23" s="11" t="n"/>
      <c r="D23" s="11" t="n">
        <v>1694529</v>
      </c>
      <c r="E23" s="11" t="n">
        <v>2159703</v>
      </c>
      <c r="F23" s="11" t="n">
        <v>2310965</v>
      </c>
      <c r="G23" s="12" t="n">
        <v>2542061.5</v>
      </c>
      <c r="H23" s="12" t="n">
        <v>2796267.65</v>
      </c>
      <c r="I23" s="12" t="n">
        <v>3075894.415000001</v>
      </c>
      <c r="J23" s="12" t="n">
        <v>3352724.912350001</v>
      </c>
      <c r="K23" s="12" t="n">
        <v>3620942.905338001</v>
      </c>
    </row>
    <row r="24">
      <c r="A24" s="8" t="inlineStr">
        <is>
          <t>Other Americas</t>
        </is>
      </c>
      <c r="B24" s="11" t="n"/>
      <c r="C24" s="11" t="n"/>
      <c r="D24" s="11" t="n">
        <v>65259</v>
      </c>
      <c r="E24" s="11" t="n">
        <v>93101</v>
      </c>
      <c r="F24" s="11" t="n">
        <v>168349</v>
      </c>
      <c r="G24" s="12" t="n">
        <v>190234.37</v>
      </c>
      <c r="H24" s="12" t="n">
        <v>213062.4944</v>
      </c>
      <c r="I24" s="12" t="n">
        <v>236499.368784</v>
      </c>
      <c r="J24" s="12" t="n">
        <v>260149.3056624001</v>
      </c>
      <c r="K24" s="12" t="n">
        <v>283562.7431720161</v>
      </c>
    </row>
    <row r="25">
      <c r="A25" s="8" t="inlineStr">
        <is>
          <t>China</t>
        </is>
      </c>
      <c r="B25" s="11" t="n"/>
      <c r="C25" s="11" t="n"/>
      <c r="D25" s="11" t="n">
        <v>679538</v>
      </c>
      <c r="E25" s="11" t="n">
        <v>573096</v>
      </c>
      <c r="F25" s="11" t="n">
        <v>679971</v>
      </c>
      <c r="G25" s="12" t="n">
        <v>713969.55</v>
      </c>
      <c r="H25" s="12" t="n">
        <v>771087.1140000001</v>
      </c>
      <c r="I25" s="12" t="n">
        <v>848195.8254000001</v>
      </c>
      <c r="J25" s="12" t="n">
        <v>933015.4079400002</v>
      </c>
      <c r="K25" s="12" t="n">
        <v>1026316.948734</v>
      </c>
    </row>
    <row r="26">
      <c r="A26" s="8" t="inlineStr">
        <is>
          <t>Other Asia</t>
        </is>
      </c>
      <c r="B26" s="11" t="n"/>
      <c r="C26" s="11" t="n"/>
      <c r="D26" s="11" t="n">
        <v>766409</v>
      </c>
      <c r="E26" s="11" t="n">
        <v>855919</v>
      </c>
      <c r="F26" s="11" t="n">
        <v>1005232</v>
      </c>
      <c r="G26" s="12" t="n">
        <v>1135912.16</v>
      </c>
      <c r="H26" s="12" t="n">
        <v>1272221.6192</v>
      </c>
      <c r="I26" s="12" t="n">
        <v>1412165.997312</v>
      </c>
      <c r="J26" s="12" t="n">
        <v>1553382.5970432</v>
      </c>
      <c r="K26" s="12" t="n">
        <v>1693187.030777089</v>
      </c>
    </row>
    <row r="27">
      <c r="A27" s="8" t="inlineStr">
        <is>
          <t>Europe, Middle East and Africa</t>
        </is>
      </c>
      <c r="B27" s="11" t="n"/>
      <c r="C27" s="11" t="n"/>
      <c r="D27" s="11" t="n">
        <v>563549</v>
      </c>
      <c r="E27" s="11" t="n">
        <v>699312</v>
      </c>
      <c r="F27" s="11" t="n">
        <v>790584</v>
      </c>
      <c r="G27" s="12" t="n">
        <v>893359.9199999999</v>
      </c>
      <c r="H27" s="12" t="n">
        <v>1000563.1104</v>
      </c>
      <c r="I27" s="12" t="n">
        <v>1110625.052544</v>
      </c>
      <c r="J27" s="12" t="n">
        <v>1221687.5577984</v>
      </c>
      <c r="K27" s="12" t="n">
        <v>1331639.438000256</v>
      </c>
    </row>
    <row r="28">
      <c r="A28" s="8" t="inlineStr">
        <is>
          <t>Japan</t>
        </is>
      </c>
      <c r="B28" s="11" t="n"/>
      <c r="C28" s="11" t="n"/>
      <c r="D28" s="11" t="n">
        <v>320702</v>
      </c>
      <c r="E28" s="11" t="n">
        <v>260133</v>
      </c>
      <c r="F28" s="11" t="n">
        <v>341658</v>
      </c>
      <c r="G28" s="12" t="n">
        <v>386073.54</v>
      </c>
      <c r="H28" s="12" t="n">
        <v>432402.3648</v>
      </c>
      <c r="I28" s="12" t="n">
        <v>479966.6249280001</v>
      </c>
      <c r="J28" s="12" t="n">
        <v>527963.2874208002</v>
      </c>
      <c r="K28" s="12" t="n">
        <v>575479.9832886723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Cadence – INCOME STATEMENT ($000s unless noted)</t>
        </is>
      </c>
    </row>
    <row r="3">
      <c r="A3" s="5" t="inlineStr"/>
      <c r="B3" s="5" t="inlineStr">
        <is>
          <t>FY2021</t>
        </is>
      </c>
      <c r="C3" s="5" t="inlineStr">
        <is>
          <t>FY2022</t>
        </is>
      </c>
      <c r="D3" s="5" t="inlineStr">
        <is>
          <t>FY2023</t>
        </is>
      </c>
      <c r="E3" s="5" t="inlineStr">
        <is>
          <t>FY2024</t>
        </is>
      </c>
      <c r="F3" s="5" t="inlineStr">
        <is>
          <t>FY2025</t>
        </is>
      </c>
      <c r="G3" s="5" t="inlineStr">
        <is>
          <t>FY2026E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</row>
    <row r="4">
      <c r="A4" s="6" t="inlineStr">
        <is>
          <t>REVENUE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inlineStr">
        <is>
          <t>Product and maintenance</t>
        </is>
      </c>
      <c r="B5" s="11" t="n">
        <v>2812947</v>
      </c>
      <c r="C5" s="11" t="n">
        <v>3340197</v>
      </c>
      <c r="D5" s="11" t="n">
        <v>3834359</v>
      </c>
      <c r="E5" s="11" t="n">
        <v>4213509</v>
      </c>
      <c r="F5" s="11" t="n">
        <v>4821589</v>
      </c>
      <c r="G5" s="12" t="n">
        <v>5494857.786600001</v>
      </c>
      <c r="H5" s="12" t="n">
        <v>6209189.298858001</v>
      </c>
      <c r="I5" s="12" t="n">
        <v>6954292.014720961</v>
      </c>
      <c r="J5" s="12" t="n">
        <v>7719264.136340268</v>
      </c>
      <c r="K5" s="12" t="n">
        <v>8491190.549974296</v>
      </c>
    </row>
    <row r="6">
      <c r="A6" s="8" t="inlineStr">
        <is>
          <t>Services</t>
        </is>
      </c>
      <c r="B6" s="11" t="n">
        <v>175297</v>
      </c>
      <c r="C6" s="11" t="n">
        <v>221521</v>
      </c>
      <c r="D6" s="11" t="n">
        <v>255627</v>
      </c>
      <c r="E6" s="11" t="n">
        <v>427755</v>
      </c>
      <c r="F6" s="11" t="n">
        <v>475170</v>
      </c>
      <c r="G6" s="12" t="n">
        <v>543447.4734</v>
      </c>
      <c r="H6" s="12" t="n">
        <v>614095.644942</v>
      </c>
      <c r="I6" s="12" t="n">
        <v>687787.1223350401</v>
      </c>
      <c r="J6" s="12" t="n">
        <v>763443.7057918946</v>
      </c>
      <c r="K6" s="12" t="n">
        <v>839788.0763710841</v>
      </c>
    </row>
    <row r="7">
      <c r="A7" s="13" t="inlineStr">
        <is>
          <t>Total revenue</t>
        </is>
      </c>
      <c r="B7" s="14" t="n">
        <v>2988244</v>
      </c>
      <c r="C7" s="14" t="n">
        <v>3561718</v>
      </c>
      <c r="D7" s="14" t="n">
        <v>4089986</v>
      </c>
      <c r="E7" s="14" t="n">
        <v>4641264</v>
      </c>
      <c r="F7" s="14" t="n">
        <v>5296759</v>
      </c>
      <c r="G7" s="14" t="n">
        <v>6038305.260000001</v>
      </c>
      <c r="H7" s="14" t="n">
        <v>6823284.9438</v>
      </c>
      <c r="I7" s="14" t="n">
        <v>7642079.137056001</v>
      </c>
      <c r="J7" s="14" t="n">
        <v>8482707.842132162</v>
      </c>
      <c r="K7" s="14" t="n">
        <v>9330978.626345379</v>
      </c>
    </row>
    <row r="9">
      <c r="A9" s="6" t="inlineStr">
        <is>
          <t>COSTS &amp; EXPENSES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8" t="inlineStr">
        <is>
          <t>Cost of product and maintenance</t>
        </is>
      </c>
      <c r="B10" s="11" t="n">
        <v>222647</v>
      </c>
      <c r="C10" s="11" t="n">
        <v>273565</v>
      </c>
      <c r="D10" s="11" t="n">
        <v>331760</v>
      </c>
      <c r="E10" s="11" t="n">
        <v>436600</v>
      </c>
      <c r="F10" s="11" t="n">
        <v>518673</v>
      </c>
      <c r="G10" s="12" t="n">
        <v>591098.5720162342</v>
      </c>
      <c r="H10" s="12" t="n">
        <v>667941.3863783446</v>
      </c>
      <c r="I10" s="12" t="n">
        <v>748094.352743746</v>
      </c>
      <c r="J10" s="12" t="n">
        <v>830384.7315455581</v>
      </c>
      <c r="K10" s="12" t="n">
        <v>913423.2047001141</v>
      </c>
    </row>
    <row r="11">
      <c r="A11" s="8" t="inlineStr">
        <is>
          <t>Cost of services</t>
        </is>
      </c>
      <c r="B11" s="11" t="n">
        <v>84359</v>
      </c>
      <c r="C11" s="11" t="n">
        <v>98058</v>
      </c>
      <c r="D11" s="11" t="n">
        <v>103281</v>
      </c>
      <c r="E11" s="11" t="n">
        <v>210902</v>
      </c>
      <c r="F11" s="11" t="n">
        <v>203576</v>
      </c>
      <c r="G11" s="12" t="n">
        <v>232827.9622974481</v>
      </c>
      <c r="H11" s="12" t="n">
        <v>263095.5973961164</v>
      </c>
      <c r="I11" s="12" t="n">
        <v>294667.0690836504</v>
      </c>
      <c r="J11" s="12" t="n">
        <v>327080.4466828519</v>
      </c>
      <c r="K11" s="12" t="n">
        <v>359788.4913511371</v>
      </c>
    </row>
    <row r="12">
      <c r="A12" s="8" t="inlineStr">
        <is>
          <t>Marketing and sales</t>
        </is>
      </c>
      <c r="B12" s="11" t="n">
        <v>560262</v>
      </c>
      <c r="C12" s="11" t="n">
        <v>604224</v>
      </c>
      <c r="D12" s="11" t="n">
        <v>690319</v>
      </c>
      <c r="E12" s="11" t="n">
        <v>757483</v>
      </c>
      <c r="F12" s="11" t="n">
        <v>802633</v>
      </c>
      <c r="G12" s="12" t="n">
        <v>899707.4837400001</v>
      </c>
      <c r="H12" s="12" t="n">
        <v>996199.6017948</v>
      </c>
      <c r="I12" s="12" t="n">
        <v>1092817.316599008</v>
      </c>
      <c r="J12" s="12" t="n">
        <v>1187579.097898503</v>
      </c>
      <c r="K12" s="12" t="n">
        <v>1278344.071809317</v>
      </c>
    </row>
    <row r="13">
      <c r="A13" s="8" t="inlineStr">
        <is>
          <t>Research and development</t>
        </is>
      </c>
      <c r="B13" s="11" t="n">
        <v>1134277</v>
      </c>
      <c r="C13" s="11" t="n">
        <v>1251544</v>
      </c>
      <c r="D13" s="11" t="n">
        <v>1441796</v>
      </c>
      <c r="E13" s="11" t="n">
        <v>1549093</v>
      </c>
      <c r="F13" s="11" t="n">
        <v>1768772</v>
      </c>
      <c r="G13" s="12" t="n">
        <v>1992640.7358</v>
      </c>
      <c r="H13" s="12" t="n">
        <v>2217567.606735</v>
      </c>
      <c r="I13" s="12" t="n">
        <v>2445465.323857921</v>
      </c>
      <c r="J13" s="12" t="n">
        <v>2680535.678113763</v>
      </c>
      <c r="K13" s="12" t="n">
        <v>2911265.331419758</v>
      </c>
    </row>
    <row r="14">
      <c r="A14" s="8" t="inlineStr">
        <is>
          <t>General and administrative</t>
        </is>
      </c>
      <c r="B14" s="11" t="n">
        <v>189018</v>
      </c>
      <c r="C14" s="11" t="n">
        <v>242116</v>
      </c>
      <c r="D14" s="11" t="n">
        <v>242430</v>
      </c>
      <c r="E14" s="11" t="n">
        <v>273961</v>
      </c>
      <c r="F14" s="11" t="n">
        <v>313387</v>
      </c>
      <c r="G14" s="12" t="n">
        <v>344183.39982</v>
      </c>
      <c r="H14" s="12" t="n">
        <v>382103.9568528</v>
      </c>
      <c r="I14" s="12" t="n">
        <v>420314.3525380801</v>
      </c>
      <c r="J14" s="12" t="n">
        <v>458066.2234751367</v>
      </c>
      <c r="K14" s="12" t="n">
        <v>494541.8671963051</v>
      </c>
    </row>
    <row r="15">
      <c r="A15" s="8" t="inlineStr">
        <is>
          <t>Amortization of acquired intangibles</t>
        </is>
      </c>
      <c r="B15" s="11" t="n">
        <v>19640</v>
      </c>
      <c r="C15" s="11" t="n">
        <v>18470</v>
      </c>
      <c r="D15" s="11" t="n">
        <v>18162</v>
      </c>
      <c r="E15" s="11" t="n">
        <v>30375</v>
      </c>
      <c r="F15" s="11" t="n">
        <v>39937</v>
      </c>
      <c r="G15" s="12" t="n">
        <v>45000</v>
      </c>
      <c r="H15" s="12" t="n">
        <v>50000</v>
      </c>
      <c r="I15" s="12" t="n">
        <v>52000</v>
      </c>
      <c r="J15" s="12" t="n">
        <v>50000</v>
      </c>
      <c r="K15" s="12" t="n">
        <v>48000</v>
      </c>
    </row>
    <row r="16">
      <c r="A16" s="8" t="inlineStr">
        <is>
          <t>Loss related to contingent liability</t>
        </is>
      </c>
      <c r="B16" s="11" t="n"/>
      <c r="C16" s="11" t="n"/>
      <c r="D16" s="11" t="n"/>
      <c r="E16" s="11" t="n">
        <v>8322</v>
      </c>
      <c r="F16" s="11" t="n">
        <v>128545</v>
      </c>
      <c r="G16" s="12" t="n"/>
      <c r="H16" s="12" t="n"/>
      <c r="I16" s="12" t="n"/>
      <c r="J16" s="12" t="n"/>
      <c r="K16" s="12" t="n"/>
    </row>
    <row r="17">
      <c r="A17" s="8" t="inlineStr">
        <is>
          <t>Restructuring</t>
        </is>
      </c>
      <c r="B17" s="11" t="n">
        <v>-1048</v>
      </c>
      <c r="C17" s="11" t="n">
        <v>55</v>
      </c>
      <c r="D17" s="11" t="n">
        <v>11013</v>
      </c>
      <c r="E17" s="11" t="n">
        <v>23765</v>
      </c>
      <c r="F17" s="11" t="n">
        <v>29194</v>
      </c>
      <c r="G17" s="12" t="n">
        <v>25000</v>
      </c>
      <c r="H17" s="12" t="n">
        <v>20000</v>
      </c>
      <c r="I17" s="12" t="n">
        <v>15000</v>
      </c>
      <c r="J17" s="12" t="n">
        <v>10000</v>
      </c>
      <c r="K17" s="12" t="n">
        <v>10000</v>
      </c>
    </row>
    <row r="18">
      <c r="A18" s="13" t="inlineStr">
        <is>
          <t>Total costs and expenses</t>
        </is>
      </c>
      <c r="B18" s="14" t="n">
        <v>2209155</v>
      </c>
      <c r="C18" s="14" t="n">
        <v>2488032</v>
      </c>
      <c r="D18" s="14" t="n">
        <v>2838761</v>
      </c>
      <c r="E18" s="14" t="n">
        <v>3290501</v>
      </c>
      <c r="F18" s="14" t="n">
        <v>3804717</v>
      </c>
      <c r="G18" s="14" t="n">
        <v>4130458.153673682</v>
      </c>
      <c r="H18" s="14" t="n">
        <v>4596908.149157061</v>
      </c>
      <c r="I18" s="14" t="n">
        <v>5068358.414822405</v>
      </c>
      <c r="J18" s="14" t="n">
        <v>5543646.177715813</v>
      </c>
      <c r="K18" s="14" t="n">
        <v>6015362.966476631</v>
      </c>
    </row>
    <row r="20">
      <c r="A20" s="6" t="inlineStr">
        <is>
          <t>OPERATING &amp; BELOW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13" t="inlineStr">
        <is>
          <t>Income from operations</t>
        </is>
      </c>
      <c r="B21" s="14" t="n">
        <v>779089</v>
      </c>
      <c r="C21" s="14" t="n">
        <v>1073686</v>
      </c>
      <c r="D21" s="14" t="n">
        <v>1251225</v>
      </c>
      <c r="E21" s="14" t="n">
        <v>1350763</v>
      </c>
      <c r="F21" s="14" t="n">
        <v>1492042</v>
      </c>
      <c r="G21" s="14" t="n">
        <v>1907847.106326318</v>
      </c>
      <c r="H21" s="14" t="n">
        <v>2226376.794642939</v>
      </c>
      <c r="I21" s="14" t="n">
        <v>2573720.722233596</v>
      </c>
      <c r="J21" s="14" t="n">
        <v>2939061.664416349</v>
      </c>
      <c r="K21" s="14" t="n">
        <v>3315615.659868748</v>
      </c>
    </row>
    <row r="22">
      <c r="A22" s="8" t="inlineStr">
        <is>
          <t>Interest expense</t>
        </is>
      </c>
      <c r="B22" s="11" t="n">
        <v>-16980</v>
      </c>
      <c r="C22" s="11" t="n">
        <v>-22934</v>
      </c>
      <c r="D22" s="11" t="n">
        <v>-36185</v>
      </c>
      <c r="E22" s="11" t="n">
        <v>-75999</v>
      </c>
      <c r="F22" s="11" t="n">
        <v>-116541</v>
      </c>
      <c r="G22" s="12" t="n">
        <v>-115000</v>
      </c>
      <c r="H22" s="12" t="n">
        <v>-110000</v>
      </c>
      <c r="I22" s="12" t="n">
        <v>-105000</v>
      </c>
      <c r="J22" s="12" t="n">
        <v>-100000</v>
      </c>
      <c r="K22" s="12" t="n">
        <v>-95000</v>
      </c>
    </row>
    <row r="23">
      <c r="A23" s="8" t="inlineStr">
        <is>
          <t>Other income, net</t>
        </is>
      </c>
      <c r="B23" s="11" t="n">
        <v>6326</v>
      </c>
      <c r="C23" s="11" t="n">
        <v>-5389</v>
      </c>
      <c r="D23" s="11" t="n">
        <v>66886</v>
      </c>
      <c r="E23" s="11" t="n">
        <v>121055</v>
      </c>
      <c r="F23" s="11" t="n">
        <v>146542</v>
      </c>
      <c r="G23" s="12" t="n">
        <v>150000</v>
      </c>
      <c r="H23" s="12" t="n">
        <v>155000</v>
      </c>
      <c r="I23" s="12" t="n">
        <v>160000</v>
      </c>
      <c r="J23" s="12" t="n">
        <v>165000</v>
      </c>
      <c r="K23" s="12" t="n">
        <v>170000</v>
      </c>
    </row>
    <row r="24">
      <c r="A24" s="13" t="inlineStr">
        <is>
          <t>Income before income taxes</t>
        </is>
      </c>
      <c r="B24" s="14" t="n">
        <v>768435</v>
      </c>
      <c r="C24" s="14" t="n">
        <v>1045363</v>
      </c>
      <c r="D24" s="14" t="n">
        <v>1281926</v>
      </c>
      <c r="E24" s="14" t="n">
        <v>1395819</v>
      </c>
      <c r="F24" s="14" t="n">
        <v>1522043</v>
      </c>
      <c r="G24" s="14" t="n">
        <v>1942847.106326318</v>
      </c>
      <c r="H24" s="14" t="n">
        <v>2271376.794642939</v>
      </c>
      <c r="I24" s="14" t="n">
        <v>2628720.722233596</v>
      </c>
      <c r="J24" s="14" t="n">
        <v>3004061.664416349</v>
      </c>
      <c r="K24" s="14" t="n">
        <v>3390615.659868748</v>
      </c>
    </row>
    <row r="25">
      <c r="A25" s="8" t="inlineStr">
        <is>
          <t>Provision for income taxes</t>
        </is>
      </c>
      <c r="B25" s="11" t="n">
        <v>72480</v>
      </c>
      <c r="C25" s="11" t="n">
        <v>196411</v>
      </c>
      <c r="D25" s="11" t="n">
        <v>240782</v>
      </c>
      <c r="E25" s="11" t="n">
        <v>340335</v>
      </c>
      <c r="F25" s="11" t="n">
        <v>413155</v>
      </c>
      <c r="G25" s="12" t="n">
        <v>514854.4831764744</v>
      </c>
      <c r="H25" s="12" t="n">
        <v>601914.8505803789</v>
      </c>
      <c r="I25" s="12" t="n">
        <v>696610.991391903</v>
      </c>
      <c r="J25" s="12" t="n">
        <v>796076.3410703327</v>
      </c>
      <c r="K25" s="12" t="n">
        <v>898513.1498652182</v>
      </c>
    </row>
    <row r="26">
      <c r="A26" s="13" t="inlineStr">
        <is>
          <t>Net income</t>
        </is>
      </c>
      <c r="B26" s="14" t="n">
        <v>695955</v>
      </c>
      <c r="C26" s="14" t="n">
        <v>848952</v>
      </c>
      <c r="D26" s="14" t="n">
        <v>1041144</v>
      </c>
      <c r="E26" s="14" t="n">
        <v>1055484</v>
      </c>
      <c r="F26" s="14" t="n">
        <v>1108888</v>
      </c>
      <c r="G26" s="14" t="n">
        <v>1427992.623149844</v>
      </c>
      <c r="H26" s="14" t="n">
        <v>1669461.94406256</v>
      </c>
      <c r="I26" s="14" t="n">
        <v>1932109.730841693</v>
      </c>
      <c r="J26" s="14" t="n">
        <v>2207985.323346017</v>
      </c>
      <c r="K26" s="14" t="n">
        <v>2492102.510003529</v>
      </c>
    </row>
    <row r="27">
      <c r="A27" s="8" t="inlineStr">
        <is>
          <t>Diluted EPS</t>
        </is>
      </c>
      <c r="B27" s="15" t="n">
        <v>2.5</v>
      </c>
      <c r="C27" s="15" t="n">
        <v>3.09</v>
      </c>
      <c r="D27" s="15" t="n">
        <v>3.82</v>
      </c>
      <c r="E27" s="15" t="n">
        <v>3.85</v>
      </c>
      <c r="F27" s="15" t="n">
        <v>4.06</v>
      </c>
      <c r="G27" s="16" t="n">
        <v>5.221179609323013</v>
      </c>
      <c r="H27" s="16" t="n">
        <v>6.126465849770864</v>
      </c>
      <c r="I27" s="16" t="n">
        <v>7.116426264610288</v>
      </c>
      <c r="J27" s="16" t="n">
        <v>8.162607480022244</v>
      </c>
      <c r="K27" s="16" t="n">
        <v>9.247133617823858</v>
      </c>
    </row>
    <row r="28">
      <c r="A28" s="8" t="inlineStr">
        <is>
          <t>Diluted shares (000s)</t>
        </is>
      </c>
      <c r="B28" s="11" t="n">
        <v>278858</v>
      </c>
      <c r="C28" s="11" t="n">
        <v>275011</v>
      </c>
      <c r="D28" s="11" t="n">
        <v>272748</v>
      </c>
      <c r="E28" s="11" t="n">
        <v>273833</v>
      </c>
      <c r="F28" s="11" t="n">
        <v>273312</v>
      </c>
      <c r="G28" s="12" t="n">
        <v>273500</v>
      </c>
      <c r="H28" s="12" t="n">
        <v>272500</v>
      </c>
      <c r="I28" s="12" t="n">
        <v>271500</v>
      </c>
      <c r="J28" s="12" t="n">
        <v>270500</v>
      </c>
      <c r="K28" s="12" t="n">
        <v>269500</v>
      </c>
    </row>
    <row r="30">
      <c r="A30" s="6" t="inlineStr">
        <is>
          <t>KEY MARGINS &amp; RATIOS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8" t="inlineStr">
        <is>
          <t>Revenue YoY growth</t>
        </is>
      </c>
      <c r="B31" s="9" t="n"/>
      <c r="C31" s="9" t="n">
        <v>0.1919100314432154</v>
      </c>
      <c r="D31" s="9" t="n">
        <v>0.1483183115563893</v>
      </c>
      <c r="E31" s="9" t="n">
        <v>0.1347872584404934</v>
      </c>
      <c r="F31" s="9" t="n">
        <v>0.1412320005929419</v>
      </c>
      <c r="G31" s="10" t="n">
        <v>0.1400000000000001</v>
      </c>
      <c r="H31" s="10" t="n">
        <v>0.1299999999999999</v>
      </c>
      <c r="I31" s="10" t="n">
        <v>0.1200000000000001</v>
      </c>
      <c r="J31" s="10" t="n">
        <v>0.1100000000000001</v>
      </c>
      <c r="K31" s="10" t="n">
        <v>0.1000000000000001</v>
      </c>
    </row>
    <row r="32">
      <c r="A32" s="8" t="inlineStr">
        <is>
          <t>Operating margin (GAAP)</t>
        </is>
      </c>
      <c r="B32" s="9" t="n">
        <v>0.2607180002703929</v>
      </c>
      <c r="C32" s="9" t="n">
        <v>0.3014517151554391</v>
      </c>
      <c r="D32" s="9" t="n">
        <v>0.3059240300578046</v>
      </c>
      <c r="E32" s="9" t="n">
        <v>0.2910334339955667</v>
      </c>
      <c r="F32" s="9" t="n">
        <v>0.2816896143471885</v>
      </c>
      <c r="G32" s="10" t="n">
        <v>0.3159573794595337</v>
      </c>
      <c r="H32" s="10" t="n">
        <v>0.3262910479307982</v>
      </c>
      <c r="I32" s="10" t="n">
        <v>0.3367827885678091</v>
      </c>
      <c r="J32" s="10" t="n">
        <v>0.3464768230986964</v>
      </c>
      <c r="K32" s="10" t="n">
        <v>0.3553341822590113</v>
      </c>
    </row>
    <row r="33">
      <c r="A33" s="8" t="inlineStr">
        <is>
          <t>Net margin (cont. ops)</t>
        </is>
      </c>
      <c r="B33" s="9" t="n">
        <v>0.2328976482509461</v>
      </c>
      <c r="C33" s="9" t="n">
        <v>0.2383546367230645</v>
      </c>
      <c r="D33" s="9" t="n">
        <v>0.2545593065599736</v>
      </c>
      <c r="E33" s="9" t="n">
        <v>0.2274130495485712</v>
      </c>
      <c r="F33" s="9" t="n">
        <v>0.209352171771455</v>
      </c>
      <c r="G33" s="10" t="n">
        <v>0.2364889752443294</v>
      </c>
      <c r="H33" s="10" t="n">
        <v>0.2446712921727711</v>
      </c>
      <c r="I33" s="10" t="n">
        <v>0.2528251404088456</v>
      </c>
      <c r="J33" s="10" t="n">
        <v>0.2602925108865981</v>
      </c>
      <c r="K33" s="10" t="n">
        <v>0.2670783644244183</v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Cadence – CASH FLOW STATEMENT ($000s)</t>
        </is>
      </c>
    </row>
    <row r="3">
      <c r="A3" s="5" t="inlineStr"/>
      <c r="B3" s="5" t="inlineStr">
        <is>
          <t>FY2021</t>
        </is>
      </c>
      <c r="C3" s="5" t="inlineStr">
        <is>
          <t>FY2022</t>
        </is>
      </c>
      <c r="D3" s="5" t="inlineStr">
        <is>
          <t>FY2023</t>
        </is>
      </c>
      <c r="E3" s="5" t="inlineStr">
        <is>
          <t>FY2024</t>
        </is>
      </c>
      <c r="F3" s="5" t="inlineStr">
        <is>
          <t>FY2025</t>
        </is>
      </c>
      <c r="G3" s="5" t="inlineStr">
        <is>
          <t>FY2026E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</row>
    <row r="4">
      <c r="A4" s="6" t="inlineStr">
        <is>
          <t>CASH FROM OPERATING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inlineStr">
        <is>
          <t>Net income</t>
        </is>
      </c>
      <c r="B5" s="11" t="n">
        <v>695955</v>
      </c>
      <c r="C5" s="11" t="n">
        <v>848952</v>
      </c>
      <c r="D5" s="11" t="n">
        <v>1041144</v>
      </c>
      <c r="E5" s="11" t="n">
        <v>1055484</v>
      </c>
      <c r="F5" s="11" t="n">
        <v>1108888</v>
      </c>
      <c r="G5" s="12" t="n">
        <v>1427992.623149844</v>
      </c>
      <c r="H5" s="12" t="n">
        <v>1669461.94406256</v>
      </c>
      <c r="I5" s="12" t="n">
        <v>1932109.730841693</v>
      </c>
      <c r="J5" s="12" t="n">
        <v>2207985.323346017</v>
      </c>
      <c r="K5" s="12" t="n">
        <v>2492102.510003529</v>
      </c>
    </row>
    <row r="6">
      <c r="A6" s="8" t="inlineStr">
        <is>
          <t>Depreciation and amortization</t>
        </is>
      </c>
      <c r="B6" s="11" t="n">
        <v>135000</v>
      </c>
      <c r="C6" s="11" t="n">
        <v>158000</v>
      </c>
      <c r="D6" s="11" t="n">
        <v>145292</v>
      </c>
      <c r="E6" s="11" t="n">
        <v>196935</v>
      </c>
      <c r="F6" s="11" t="n">
        <v>227828</v>
      </c>
      <c r="G6" s="12" t="n">
        <v>301915.263</v>
      </c>
      <c r="H6" s="12" t="n">
        <v>341164.24719</v>
      </c>
      <c r="I6" s="12" t="n">
        <v>382103.9568528001</v>
      </c>
      <c r="J6" s="12" t="n">
        <v>424135.3921066081</v>
      </c>
      <c r="K6" s="12" t="n">
        <v>466548.931317269</v>
      </c>
    </row>
    <row r="7">
      <c r="A7" s="8" t="inlineStr">
        <is>
          <t>Stock-based compensation</t>
        </is>
      </c>
      <c r="B7" s="11" t="n">
        <v>244000</v>
      </c>
      <c r="C7" s="11" t="n">
        <v>286000</v>
      </c>
      <c r="D7" s="11" t="n">
        <v>325611</v>
      </c>
      <c r="E7" s="11" t="n">
        <v>391219</v>
      </c>
      <c r="F7" s="11" t="n">
        <v>455175</v>
      </c>
      <c r="G7" s="12" t="n">
        <v>513255.9471000001</v>
      </c>
      <c r="H7" s="12" t="n">
        <v>579979.220223</v>
      </c>
      <c r="I7" s="12" t="n">
        <v>649576.7266497602</v>
      </c>
      <c r="J7" s="12" t="n">
        <v>721030.1665812338</v>
      </c>
      <c r="K7" s="12" t="n">
        <v>793133.1832393573</v>
      </c>
    </row>
    <row r="8">
      <c r="A8" s="8" t="inlineStr">
        <is>
          <t>Gain on divestitures and investments, net</t>
        </is>
      </c>
      <c r="B8" s="11" t="n"/>
      <c r="C8" s="11" t="n"/>
      <c r="D8" s="11" t="n">
        <v>-34602</v>
      </c>
      <c r="E8" s="11" t="n">
        <v>-49593</v>
      </c>
      <c r="F8" s="11" t="n">
        <v>-69089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</row>
    <row r="9">
      <c r="A9" s="8" t="inlineStr">
        <is>
          <t>Deferred income taxes</t>
        </is>
      </c>
      <c r="B9" s="11" t="n">
        <v>-82000</v>
      </c>
      <c r="C9" s="11" t="n">
        <v>-127000</v>
      </c>
      <c r="D9" s="11" t="n">
        <v>-36512</v>
      </c>
      <c r="E9" s="11" t="n">
        <v>-128737</v>
      </c>
      <c r="F9" s="11" t="n">
        <v>66048</v>
      </c>
      <c r="G9" s="12" t="n">
        <v>-6038.305260000001</v>
      </c>
      <c r="H9" s="12" t="n">
        <v>-6823.2849438</v>
      </c>
      <c r="I9" s="12" t="n">
        <v>-7642.079137056002</v>
      </c>
      <c r="J9" s="12" t="n">
        <v>-8482.707842132162</v>
      </c>
      <c r="K9" s="12" t="n">
        <v>-9330.978626345379</v>
      </c>
    </row>
    <row r="10">
      <c r="A10" s="8" t="inlineStr">
        <is>
          <t>Other non-cash items</t>
        </is>
      </c>
      <c r="B10" s="11" t="n">
        <v>7000</v>
      </c>
      <c r="C10" s="11" t="n">
        <v>8000</v>
      </c>
      <c r="D10" s="11" t="n">
        <v>7021</v>
      </c>
      <c r="E10" s="11" t="n">
        <v>4218</v>
      </c>
      <c r="F10" s="11" t="n">
        <v>13182</v>
      </c>
      <c r="G10" s="12" t="n">
        <v>12076.61052</v>
      </c>
      <c r="H10" s="12" t="n">
        <v>13646.5698876</v>
      </c>
      <c r="I10" s="12" t="n">
        <v>15284.158274112</v>
      </c>
      <c r="J10" s="12" t="n">
        <v>16965.41568426432</v>
      </c>
      <c r="K10" s="12" t="n">
        <v>18661.95725269076</v>
      </c>
    </row>
    <row r="11">
      <c r="A11" s="8" t="inlineStr">
        <is>
          <t>Δ Receivables</t>
        </is>
      </c>
      <c r="B11" s="11" t="n">
        <v>-89000</v>
      </c>
      <c r="C11" s="11" t="n">
        <v>-147000</v>
      </c>
      <c r="D11" s="11" t="n">
        <v>-11748</v>
      </c>
      <c r="E11" s="11" t="n">
        <v>-180287</v>
      </c>
      <c r="F11" s="11" t="n">
        <v>-274894</v>
      </c>
      <c r="G11" s="12" t="n">
        <v>-181149.1578</v>
      </c>
      <c r="H11" s="12" t="n">
        <v>-204698.548314</v>
      </c>
      <c r="I11" s="12" t="n">
        <v>-229262.37411168</v>
      </c>
      <c r="J11" s="12" t="n">
        <v>-254481.2352639649</v>
      </c>
      <c r="K11" s="12" t="n">
        <v>-279929.3587903614</v>
      </c>
    </row>
    <row r="12">
      <c r="A12" s="8" t="inlineStr">
        <is>
          <t>Δ Inventories</t>
        </is>
      </c>
      <c r="B12" s="11" t="n">
        <v>-56000</v>
      </c>
      <c r="C12" s="11" t="n">
        <v>-82000</v>
      </c>
      <c r="D12" s="11" t="n">
        <v>-65895</v>
      </c>
      <c r="E12" s="11" t="n">
        <v>-82771</v>
      </c>
      <c r="F12" s="11" t="n">
        <v>-91029</v>
      </c>
      <c r="G12" s="12" t="n">
        <v>-72459.66312000001</v>
      </c>
      <c r="H12" s="12" t="n">
        <v>-81879.41932560001</v>
      </c>
      <c r="I12" s="12" t="n">
        <v>-91704.94964467201</v>
      </c>
      <c r="J12" s="12" t="n">
        <v>-101792.494105586</v>
      </c>
      <c r="K12" s="12" t="n">
        <v>-111971.7435161445</v>
      </c>
    </row>
    <row r="13">
      <c r="A13" s="8" t="inlineStr">
        <is>
          <t>Δ Prepaid &amp; other</t>
        </is>
      </c>
      <c r="B13" s="11" t="n">
        <v>-3000</v>
      </c>
      <c r="C13" s="11" t="n">
        <v>-27000</v>
      </c>
      <c r="D13" s="11" t="n">
        <v>39015</v>
      </c>
      <c r="E13" s="11" t="n">
        <v>-81529</v>
      </c>
      <c r="F13" s="11" t="n">
        <v>43382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</row>
    <row r="14">
      <c r="A14" s="8" t="inlineStr">
        <is>
          <t>Δ Other assets</t>
        </is>
      </c>
      <c r="B14" s="11" t="n">
        <v>-6000</v>
      </c>
      <c r="C14" s="11" t="n">
        <v>-7000</v>
      </c>
      <c r="D14" s="11" t="n">
        <v>-45784</v>
      </c>
      <c r="E14" s="11" t="n">
        <v>11866</v>
      </c>
      <c r="F14" s="11" t="n">
        <v>-18569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</row>
    <row r="15">
      <c r="A15" s="8" t="inlineStr">
        <is>
          <t>Δ Accounts payable</t>
        </is>
      </c>
      <c r="B15" s="11" t="n">
        <v>19000</v>
      </c>
      <c r="C15" s="11" t="n">
        <v>34000</v>
      </c>
      <c r="D15" s="11" t="n">
        <v>5415</v>
      </c>
      <c r="E15" s="11" t="n">
        <v>33676</v>
      </c>
      <c r="F15" s="11" t="n">
        <v>184897</v>
      </c>
      <c r="G15" s="12" t="n">
        <v>120766.1052</v>
      </c>
      <c r="H15" s="12" t="n">
        <v>136465.698876</v>
      </c>
      <c r="I15" s="12" t="n">
        <v>152841.58274112</v>
      </c>
      <c r="J15" s="12" t="n">
        <v>169654.1568426432</v>
      </c>
      <c r="K15" s="12" t="n">
        <v>186619.5725269076</v>
      </c>
    </row>
    <row r="16">
      <c r="A16" s="8" t="inlineStr">
        <is>
          <t>Δ Deferred revenue</t>
        </is>
      </c>
      <c r="B16" s="11" t="n">
        <v>124000</v>
      </c>
      <c r="C16" s="11" t="n">
        <v>115000</v>
      </c>
      <c r="D16" s="11" t="n">
        <v>-21583</v>
      </c>
      <c r="E16" s="11" t="n">
        <v>66478</v>
      </c>
      <c r="F16" s="11" t="n">
        <v>69411</v>
      </c>
      <c r="G16" s="12" t="n">
        <v>72459.66312000001</v>
      </c>
      <c r="H16" s="12" t="n">
        <v>81879.41932560001</v>
      </c>
      <c r="I16" s="12" t="n">
        <v>91704.94964467201</v>
      </c>
      <c r="J16" s="12" t="n">
        <v>101792.494105586</v>
      </c>
      <c r="K16" s="12" t="n">
        <v>111971.7435161445</v>
      </c>
    </row>
    <row r="17">
      <c r="A17" s="8" t="inlineStr">
        <is>
          <t>Δ Other liabilities</t>
        </is>
      </c>
      <c r="B17" s="11" t="n">
        <v>3000</v>
      </c>
      <c r="C17" s="11" t="n">
        <v>5000</v>
      </c>
      <c r="D17" s="11" t="n">
        <v>1802</v>
      </c>
      <c r="E17" s="11" t="n">
        <v>23592</v>
      </c>
      <c r="F17" s="11" t="n">
        <v>13551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</row>
    <row r="18">
      <c r="A18" s="13" t="inlineStr">
        <is>
          <t>Net cash from operating</t>
        </is>
      </c>
      <c r="B18" s="14" t="n">
        <v>991955</v>
      </c>
      <c r="C18" s="14" t="n">
        <v>1064952</v>
      </c>
      <c r="D18" s="14" t="n">
        <v>1349176</v>
      </c>
      <c r="E18" s="14" t="n">
        <v>1260551</v>
      </c>
      <c r="F18" s="14" t="n">
        <v>1728781</v>
      </c>
      <c r="G18" s="14" t="n">
        <v>2068052.980709845</v>
      </c>
      <c r="H18" s="14" t="n">
        <v>2392730.148105361</v>
      </c>
      <c r="I18" s="14" t="n">
        <v>2742170.119369629</v>
      </c>
      <c r="J18" s="14" t="n">
        <v>3107152.354612026</v>
      </c>
      <c r="K18" s="14" t="n">
        <v>3481186.24439614</v>
      </c>
    </row>
    <row r="20">
      <c r="A20" s="6" t="inlineStr">
        <is>
          <t>CASH FROM INVESTING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8" t="inlineStr">
        <is>
          <t>Purchases of investments</t>
        </is>
      </c>
      <c r="B21" s="11" t="n">
        <v>-145000</v>
      </c>
      <c r="C21" s="11" t="n">
        <v>-85000</v>
      </c>
      <c r="D21" s="11" t="n">
        <v>-176170</v>
      </c>
      <c r="E21" s="11" t="n">
        <v>-4982</v>
      </c>
      <c r="F21" s="11" t="n">
        <v>-40895</v>
      </c>
      <c r="G21" s="12" t="n">
        <v>-40000</v>
      </c>
      <c r="H21" s="12" t="n">
        <v>-40000</v>
      </c>
      <c r="I21" s="12" t="n">
        <v>-40000</v>
      </c>
      <c r="J21" s="12" t="n">
        <v>-40000</v>
      </c>
      <c r="K21" s="12" t="n">
        <v>-40000</v>
      </c>
    </row>
    <row r="22">
      <c r="A22" s="8" t="inlineStr">
        <is>
          <t>Proceeds from investments</t>
        </is>
      </c>
      <c r="B22" s="11" t="n">
        <v>85000</v>
      </c>
      <c r="C22" s="11" t="n">
        <v>62000</v>
      </c>
      <c r="D22" s="11" t="n">
        <v>64775</v>
      </c>
      <c r="E22" s="11" t="n">
        <v>47980</v>
      </c>
      <c r="F22" s="11" t="n">
        <v>140281</v>
      </c>
      <c r="G22" s="12" t="n">
        <v>120000</v>
      </c>
      <c r="H22" s="12" t="n">
        <v>120000</v>
      </c>
      <c r="I22" s="12" t="n">
        <v>120000</v>
      </c>
      <c r="J22" s="12" t="n">
        <v>120000</v>
      </c>
      <c r="K22" s="12" t="n">
        <v>120000</v>
      </c>
    </row>
    <row r="23">
      <c r="A23" s="8" t="inlineStr">
        <is>
          <t>Capex</t>
        </is>
      </c>
      <c r="B23" s="11" t="n">
        <v>-84000</v>
      </c>
      <c r="C23" s="11" t="n">
        <v>-105000</v>
      </c>
      <c r="D23" s="11" t="n">
        <v>-102337</v>
      </c>
      <c r="E23" s="11" t="n">
        <v>-142542</v>
      </c>
      <c r="F23" s="11" t="n">
        <v>-141871</v>
      </c>
      <c r="G23" s="12" t="n">
        <v>-163034.24202</v>
      </c>
      <c r="H23" s="12" t="n">
        <v>-184228.6934826</v>
      </c>
      <c r="I23" s="12" t="n">
        <v>-206336.136700512</v>
      </c>
      <c r="J23" s="12" t="n">
        <v>-229033.1117375684</v>
      </c>
      <c r="K23" s="12" t="n">
        <v>-251936.4229113252</v>
      </c>
    </row>
    <row r="24">
      <c r="A24" s="8" t="inlineStr">
        <is>
          <t>Cash paid in business combinations</t>
        </is>
      </c>
      <c r="B24" s="11" t="n">
        <v>-115000</v>
      </c>
      <c r="C24" s="11" t="n">
        <v>-260000</v>
      </c>
      <c r="D24" s="11" t="n">
        <v>-198351</v>
      </c>
      <c r="E24" s="11" t="n">
        <v>-737574</v>
      </c>
      <c r="F24" s="11" t="n">
        <v>-429538</v>
      </c>
      <c r="G24" s="12" t="n">
        <v>-300000</v>
      </c>
      <c r="H24" s="12" t="n">
        <v>-300000</v>
      </c>
      <c r="I24" s="12" t="n">
        <v>-300000</v>
      </c>
      <c r="J24" s="12" t="n">
        <v>-300000</v>
      </c>
      <c r="K24" s="12" t="n">
        <v>-300000</v>
      </c>
    </row>
    <row r="25">
      <c r="A25" s="8" t="inlineStr">
        <is>
          <t>Other investing</t>
        </is>
      </c>
      <c r="B25" s="11" t="n">
        <v>3000</v>
      </c>
      <c r="C25" s="11" t="n">
        <v>5000</v>
      </c>
      <c r="D25" s="11" t="n">
        <v>-166</v>
      </c>
      <c r="E25" s="11" t="n">
        <v>0</v>
      </c>
      <c r="F25" s="11" t="n">
        <v>11500</v>
      </c>
      <c r="G25" s="12" t="n">
        <v>10000</v>
      </c>
      <c r="H25" s="12" t="n">
        <v>10000</v>
      </c>
      <c r="I25" s="12" t="n">
        <v>10000</v>
      </c>
      <c r="J25" s="12" t="n">
        <v>10000</v>
      </c>
      <c r="K25" s="12" t="n">
        <v>10000</v>
      </c>
    </row>
    <row r="26">
      <c r="A26" s="13" t="inlineStr">
        <is>
          <t>Net cash used investing</t>
        </is>
      </c>
      <c r="B26" s="14" t="n">
        <v>-256000</v>
      </c>
      <c r="C26" s="14" t="n">
        <v>-383000</v>
      </c>
      <c r="D26" s="14" t="n">
        <v>-412249</v>
      </c>
      <c r="E26" s="14" t="n">
        <v>-837118</v>
      </c>
      <c r="F26" s="14" t="n">
        <v>-460523</v>
      </c>
      <c r="G26" s="14" t="n">
        <v>-373034.24202</v>
      </c>
      <c r="H26" s="14" t="n">
        <v>-394228.6934826</v>
      </c>
      <c r="I26" s="14" t="n">
        <v>-416336.136700512</v>
      </c>
      <c r="J26" s="14" t="n">
        <v>-439033.1117375684</v>
      </c>
      <c r="K26" s="14" t="n">
        <v>-461936.4229113252</v>
      </c>
    </row>
    <row r="28">
      <c r="A28" s="6" t="inlineStr">
        <is>
          <t>CASH FROM FINANCING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8" t="inlineStr">
        <is>
          <t>Proceeds from debt</t>
        </is>
      </c>
      <c r="B29" s="11" t="n">
        <v>0</v>
      </c>
      <c r="C29" s="11" t="n">
        <v>0</v>
      </c>
      <c r="D29" s="11" t="n">
        <v>350000</v>
      </c>
      <c r="E29" s="11" t="n">
        <v>2500000</v>
      </c>
      <c r="F29" s="11" t="n">
        <v>0</v>
      </c>
      <c r="G29" s="12" t="n">
        <v>0</v>
      </c>
      <c r="H29" s="12" t="n">
        <v>0</v>
      </c>
      <c r="I29" s="12" t="n">
        <v>0</v>
      </c>
      <c r="J29" s="12" t="n">
        <v>0</v>
      </c>
      <c r="K29" s="12" t="n">
        <v>0</v>
      </c>
    </row>
    <row r="30">
      <c r="A30" s="8" t="inlineStr">
        <is>
          <t>Repurchases of common stock</t>
        </is>
      </c>
      <c r="B30" s="11" t="n">
        <v>-525000</v>
      </c>
      <c r="C30" s="11" t="n">
        <v>-300000</v>
      </c>
      <c r="D30" s="11" t="n">
        <v>-625000</v>
      </c>
      <c r="E30" s="11" t="n">
        <v>-355000</v>
      </c>
      <c r="F30" s="11" t="n">
        <v>-1034634</v>
      </c>
      <c r="G30" s="12" t="n">
        <v>-1200000</v>
      </c>
      <c r="H30" s="12" t="n">
        <v>-1300000</v>
      </c>
      <c r="I30" s="12" t="n">
        <v>-1400000</v>
      </c>
      <c r="J30" s="12" t="n">
        <v>-1500000</v>
      </c>
      <c r="K30" s="12" t="n">
        <v>-1600000</v>
      </c>
    </row>
    <row r="31">
      <c r="A31" s="8" t="inlineStr">
        <is>
          <t>Tax withholding on equity awards</t>
        </is>
      </c>
      <c r="B31" s="11" t="n">
        <v>-95000</v>
      </c>
      <c r="C31" s="11" t="n">
        <v>-118000</v>
      </c>
      <c r="D31" s="11" t="n">
        <v>-148000</v>
      </c>
      <c r="E31" s="11" t="n">
        <v>-158000</v>
      </c>
      <c r="F31" s="11" t="n">
        <v>-167000</v>
      </c>
      <c r="G31" s="12" t="n">
        <v>-180000</v>
      </c>
      <c r="H31" s="12" t="n">
        <v>-180000</v>
      </c>
      <c r="I31" s="12" t="n">
        <v>-180000</v>
      </c>
      <c r="J31" s="12" t="n">
        <v>-180000</v>
      </c>
      <c r="K31" s="12" t="n">
        <v>-180000</v>
      </c>
    </row>
    <row r="32">
      <c r="A32" s="8" t="inlineStr">
        <is>
          <t>Other financing</t>
        </is>
      </c>
      <c r="B32" s="11" t="n">
        <v>5000</v>
      </c>
      <c r="C32" s="11" t="n">
        <v>13000</v>
      </c>
      <c r="D32" s="11" t="n">
        <v>4000</v>
      </c>
      <c r="E32" s="11" t="n">
        <v>-34761</v>
      </c>
      <c r="F32" s="11" t="n">
        <v>-47000</v>
      </c>
      <c r="G32" s="12" t="n">
        <v>-50000</v>
      </c>
      <c r="H32" s="12" t="n">
        <v>-50000</v>
      </c>
      <c r="I32" s="12" t="n">
        <v>-50000</v>
      </c>
      <c r="J32" s="12" t="n">
        <v>-50000</v>
      </c>
      <c r="K32" s="12" t="n">
        <v>-50000</v>
      </c>
    </row>
    <row r="33">
      <c r="A33" s="13" t="inlineStr">
        <is>
          <t>Net cash from financing</t>
        </is>
      </c>
      <c r="B33" s="14" t="n">
        <v>-615000</v>
      </c>
      <c r="C33" s="14" t="n">
        <v>-405000</v>
      </c>
      <c r="D33" s="14" t="n">
        <v>-419000</v>
      </c>
      <c r="E33" s="14" t="n">
        <v>1952239</v>
      </c>
      <c r="F33" s="14" t="n">
        <v>-1248634</v>
      </c>
      <c r="G33" s="14" t="n">
        <v>-1430000</v>
      </c>
      <c r="H33" s="14" t="n">
        <v>-1530000</v>
      </c>
      <c r="I33" s="14" t="n">
        <v>-1630000</v>
      </c>
      <c r="J33" s="14" t="n">
        <v>-1730000</v>
      </c>
      <c r="K33" s="14" t="n">
        <v>-1830000</v>
      </c>
    </row>
    <row r="35">
      <c r="A35" s="6" t="inlineStr">
        <is>
          <t>RECONCILIATION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8" t="inlineStr">
        <is>
          <t>Effect of FX on cash</t>
        </is>
      </c>
      <c r="B36" s="11" t="n">
        <v>-3000</v>
      </c>
      <c r="C36" s="11" t="n">
        <v>-10000</v>
      </c>
      <c r="D36" s="11" t="n">
        <v>-3100</v>
      </c>
      <c r="E36" s="11" t="n">
        <v>-39794</v>
      </c>
      <c r="F36" s="11" t="n">
        <v>338663</v>
      </c>
      <c r="G36" s="12" t="n">
        <v>50000</v>
      </c>
      <c r="H36" s="12" t="n">
        <v>50000</v>
      </c>
      <c r="I36" s="12" t="n">
        <v>50000</v>
      </c>
      <c r="J36" s="12" t="n">
        <v>50000</v>
      </c>
      <c r="K36" s="12" t="n">
        <v>50000</v>
      </c>
    </row>
    <row r="37">
      <c r="A37" s="13" t="inlineStr">
        <is>
          <t>Change in cash</t>
        </is>
      </c>
      <c r="B37" s="14" t="n">
        <v>117955</v>
      </c>
      <c r="C37" s="14" t="n">
        <v>266952</v>
      </c>
      <c r="D37" s="14" t="n">
        <v>514827</v>
      </c>
      <c r="E37" s="14" t="n">
        <v>2335878</v>
      </c>
      <c r="F37" s="14" t="n">
        <v>358287</v>
      </c>
      <c r="G37" s="14" t="n">
        <v>315018.7386898445</v>
      </c>
      <c r="H37" s="14" t="n">
        <v>518501.4546227604</v>
      </c>
      <c r="I37" s="14" t="n">
        <v>745833.9826691174</v>
      </c>
      <c r="J37" s="14" t="n">
        <v>988119.242874458</v>
      </c>
      <c r="K37" s="14" t="n">
        <v>1239249.821484814</v>
      </c>
    </row>
    <row r="39">
      <c r="A39" s="6" t="inlineStr">
        <is>
          <t>FREE CASH FLOW (CFO - Capex)</t>
        </is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13" t="inlineStr">
        <is>
          <t>Free cash flow</t>
        </is>
      </c>
      <c r="B40" s="14" t="n">
        <v>907955</v>
      </c>
      <c r="C40" s="14" t="n">
        <v>959952</v>
      </c>
      <c r="D40" s="14" t="n">
        <v>1246839</v>
      </c>
      <c r="E40" s="14" t="n">
        <v>1118009</v>
      </c>
      <c r="F40" s="14" t="n">
        <v>1586910</v>
      </c>
      <c r="G40" s="14" t="n">
        <v>1905018.738689844</v>
      </c>
      <c r="H40" s="14" t="n">
        <v>2208501.45462276</v>
      </c>
      <c r="I40" s="14" t="n">
        <v>2535833.982669117</v>
      </c>
      <c r="J40" s="14" t="n">
        <v>2878119.242874458</v>
      </c>
      <c r="K40" s="14" t="n">
        <v>3229249.821484814</v>
      </c>
    </row>
    <row r="41">
      <c r="A41" s="8" t="inlineStr">
        <is>
          <t>FCF margin</t>
        </is>
      </c>
      <c r="B41" s="9" t="n">
        <v>0.3038423234514986</v>
      </c>
      <c r="C41" s="9" t="n">
        <v>0.269519372392761</v>
      </c>
      <c r="D41" s="9" t="n">
        <v>0.3048516547489404</v>
      </c>
      <c r="E41" s="9" t="n">
        <v>0.2408845952309543</v>
      </c>
      <c r="F41" s="9" t="n">
        <v>0.2996001894743559</v>
      </c>
      <c r="G41" s="10" t="n">
        <v>0.3154889752443295</v>
      </c>
      <c r="H41" s="10" t="n">
        <v>0.3236712921727712</v>
      </c>
      <c r="I41" s="10" t="n">
        <v>0.3318251404088456</v>
      </c>
      <c r="J41" s="10" t="n">
        <v>0.3392925108865981</v>
      </c>
      <c r="K41" s="10" t="n">
        <v>0.3460783644244183</v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4" t="inlineStr">
        <is>
          <t>Cadence – BALANCE SHEET ($000s)</t>
        </is>
      </c>
    </row>
    <row r="3">
      <c r="A3" s="5" t="inlineStr"/>
      <c r="B3" s="5" t="inlineStr">
        <is>
          <t>FY2021</t>
        </is>
      </c>
      <c r="C3" s="5" t="inlineStr">
        <is>
          <t>FY2022</t>
        </is>
      </c>
      <c r="D3" s="5" t="inlineStr">
        <is>
          <t>FY2023</t>
        </is>
      </c>
      <c r="E3" s="5" t="inlineStr">
        <is>
          <t>FY2024</t>
        </is>
      </c>
      <c r="F3" s="5" t="inlineStr">
        <is>
          <t>FY2025</t>
        </is>
      </c>
      <c r="G3" s="5" t="inlineStr">
        <is>
          <t>FY2026E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</row>
    <row r="4">
      <c r="A4" s="6" t="inlineStr">
        <is>
          <t>ASSETS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8" t="inlineStr">
        <is>
          <t>Cash &amp; equivalents</t>
        </is>
      </c>
      <c r="B5" s="11" t="n">
        <v>1088940</v>
      </c>
      <c r="C5" s="11" t="n">
        <v>882325</v>
      </c>
      <c r="D5" s="11" t="n">
        <v>888000</v>
      </c>
      <c r="E5" s="11" t="n">
        <v>2644030</v>
      </c>
      <c r="F5" s="11" t="n">
        <v>3001317</v>
      </c>
      <c r="G5" s="12" t="n">
        <v>3316335.738689844</v>
      </c>
      <c r="H5" s="12" t="n">
        <v>3834837.193312605</v>
      </c>
      <c r="I5" s="12" t="n">
        <v>4580671.175981723</v>
      </c>
      <c r="J5" s="12" t="n">
        <v>5568790.418856181</v>
      </c>
      <c r="K5" s="12" t="n">
        <v>6808040.240340996</v>
      </c>
    </row>
    <row r="6">
      <c r="A6" s="8" t="inlineStr">
        <is>
          <t>Receivables, net</t>
        </is>
      </c>
      <c r="B6" s="11" t="n">
        <v>337596</v>
      </c>
      <c r="C6" s="11" t="n">
        <v>486710</v>
      </c>
      <c r="D6" s="11" t="n">
        <v>555000</v>
      </c>
      <c r="E6" s="11" t="n">
        <v>680460</v>
      </c>
      <c r="F6" s="11" t="n">
        <v>944939</v>
      </c>
      <c r="G6" s="12" t="n">
        <v>1086894.9468</v>
      </c>
      <c r="H6" s="12" t="n">
        <v>1228191.289884</v>
      </c>
      <c r="I6" s="12" t="n">
        <v>1375574.24467008</v>
      </c>
      <c r="J6" s="12" t="n">
        <v>1526887.411583789</v>
      </c>
      <c r="K6" s="12" t="n">
        <v>1679576.152742168</v>
      </c>
    </row>
    <row r="7">
      <c r="A7" s="8" t="inlineStr">
        <is>
          <t>Inventories</t>
        </is>
      </c>
      <c r="B7" s="11" t="n">
        <v>166000</v>
      </c>
      <c r="C7" s="11" t="n">
        <v>246000</v>
      </c>
      <c r="D7" s="11" t="n">
        <v>263000</v>
      </c>
      <c r="E7" s="11" t="n">
        <v>257711</v>
      </c>
      <c r="F7" s="11" t="n">
        <v>303545</v>
      </c>
      <c r="G7" s="12" t="n">
        <v>362298.3156</v>
      </c>
      <c r="H7" s="12" t="n">
        <v>409397.096628</v>
      </c>
      <c r="I7" s="12" t="n">
        <v>458524.74822336</v>
      </c>
      <c r="J7" s="12" t="n">
        <v>508962.4705279297</v>
      </c>
      <c r="K7" s="12" t="n">
        <v>559858.7175807228</v>
      </c>
    </row>
    <row r="8">
      <c r="A8" s="8" t="inlineStr">
        <is>
          <t>Prepaid expenses and other</t>
        </is>
      </c>
      <c r="B8" s="11" t="n">
        <v>207000</v>
      </c>
      <c r="C8" s="11" t="n">
        <v>349000</v>
      </c>
      <c r="D8" s="11" t="n">
        <v>379000</v>
      </c>
      <c r="E8" s="11" t="n">
        <v>433878</v>
      </c>
      <c r="F8" s="11" t="n">
        <v>419872</v>
      </c>
      <c r="G8" s="12" t="n">
        <v>483064.4208000001</v>
      </c>
      <c r="H8" s="12" t="n">
        <v>545862.795504</v>
      </c>
      <c r="I8" s="12" t="n">
        <v>611366.3309644802</v>
      </c>
      <c r="J8" s="12" t="n">
        <v>678616.627370573</v>
      </c>
      <c r="K8" s="12" t="n">
        <v>746478.2901076303</v>
      </c>
    </row>
    <row r="9">
      <c r="A9" s="13" t="inlineStr">
        <is>
          <t>Total current assets</t>
        </is>
      </c>
      <c r="B9" s="14" t="n">
        <v>1799536</v>
      </c>
      <c r="C9" s="14" t="n">
        <v>1964035</v>
      </c>
      <c r="D9" s="14" t="n">
        <v>2085000</v>
      </c>
      <c r="E9" s="14" t="n">
        <v>4016079</v>
      </c>
      <c r="F9" s="14" t="n">
        <v>4669673</v>
      </c>
      <c r="G9" s="14" t="n">
        <v>5248593.421889845</v>
      </c>
      <c r="H9" s="14" t="n">
        <v>6018288.375328605</v>
      </c>
      <c r="I9" s="14" t="n">
        <v>7026136.499839643</v>
      </c>
      <c r="J9" s="14" t="n">
        <v>8283256.928338473</v>
      </c>
      <c r="K9" s="14" t="n">
        <v>9793953.400771517</v>
      </c>
    </row>
    <row r="10">
      <c r="A10" s="8" t="inlineStr">
        <is>
          <t>Property, plant and equipment, net</t>
        </is>
      </c>
      <c r="B10" s="11" t="n">
        <v>321000</v>
      </c>
      <c r="C10" s="11" t="n">
        <v>393000</v>
      </c>
      <c r="D10" s="11" t="n">
        <v>430000</v>
      </c>
      <c r="E10" s="11" t="n">
        <v>458200</v>
      </c>
      <c r="F10" s="11" t="n">
        <v>517004</v>
      </c>
      <c r="G10" s="12" t="n">
        <v>548024.24</v>
      </c>
      <c r="H10" s="12" t="n">
        <v>579044.4800000001</v>
      </c>
      <c r="I10" s="12" t="n">
        <v>610064.72</v>
      </c>
      <c r="J10" s="12" t="n">
        <v>641084.96</v>
      </c>
      <c r="K10" s="12" t="n">
        <v>672105.2000000001</v>
      </c>
    </row>
    <row r="11">
      <c r="A11" s="8" t="inlineStr">
        <is>
          <t>Goodwill</t>
        </is>
      </c>
      <c r="B11" s="11" t="n">
        <v>1715000</v>
      </c>
      <c r="C11" s="11" t="n">
        <v>1851000</v>
      </c>
      <c r="D11" s="11" t="n">
        <v>2180000</v>
      </c>
      <c r="E11" s="11" t="n">
        <v>2378671</v>
      </c>
      <c r="F11" s="11" t="n">
        <v>2749143</v>
      </c>
      <c r="G11" s="12" t="n">
        <v>3049143</v>
      </c>
      <c r="H11" s="12" t="n">
        <v>3349143</v>
      </c>
      <c r="I11" s="12" t="n">
        <v>3649143</v>
      </c>
      <c r="J11" s="12" t="n">
        <v>3949143</v>
      </c>
      <c r="K11" s="12" t="n">
        <v>4249143</v>
      </c>
    </row>
    <row r="12">
      <c r="A12" s="8" t="inlineStr">
        <is>
          <t>Acquired intangibles, net</t>
        </is>
      </c>
      <c r="B12" s="11" t="n">
        <v>178000</v>
      </c>
      <c r="C12" s="11" t="n">
        <v>265000</v>
      </c>
      <c r="D12" s="11" t="n">
        <v>330000</v>
      </c>
      <c r="E12" s="11" t="n">
        <v>594734</v>
      </c>
      <c r="F12" s="11" t="n">
        <v>718223</v>
      </c>
      <c r="G12" s="12" t="n">
        <v>768223</v>
      </c>
      <c r="H12" s="12" t="n">
        <v>818223</v>
      </c>
      <c r="I12" s="12" t="n">
        <v>868223</v>
      </c>
      <c r="J12" s="12" t="n">
        <v>918223</v>
      </c>
      <c r="K12" s="12" t="n">
        <v>968223</v>
      </c>
    </row>
    <row r="13">
      <c r="A13" s="8" t="inlineStr">
        <is>
          <t>Deferred taxes</t>
        </is>
      </c>
      <c r="B13" s="11" t="n">
        <v>528000</v>
      </c>
      <c r="C13" s="11" t="n">
        <v>666000</v>
      </c>
      <c r="D13" s="11" t="n">
        <v>816000</v>
      </c>
      <c r="E13" s="11" t="n">
        <v>982057</v>
      </c>
      <c r="F13" s="11" t="n">
        <v>917733</v>
      </c>
      <c r="G13" s="12" t="n">
        <v>871846.35</v>
      </c>
      <c r="H13" s="12" t="n">
        <v>825959.7000000001</v>
      </c>
      <c r="I13" s="12" t="n">
        <v>780073.0499999999</v>
      </c>
      <c r="J13" s="12" t="n">
        <v>734186.4</v>
      </c>
      <c r="K13" s="12" t="n">
        <v>688299.75</v>
      </c>
    </row>
    <row r="14">
      <c r="A14" s="8" t="inlineStr">
        <is>
          <t>Other assets</t>
        </is>
      </c>
      <c r="B14" s="11" t="n">
        <v>427000</v>
      </c>
      <c r="C14" s="11" t="n">
        <v>476000</v>
      </c>
      <c r="D14" s="11" t="n">
        <v>513000</v>
      </c>
      <c r="E14" s="11" t="n">
        <v>544741</v>
      </c>
      <c r="F14" s="11" t="n">
        <v>581372</v>
      </c>
      <c r="G14" s="12" t="n">
        <v>604626.88</v>
      </c>
      <c r="H14" s="12" t="n">
        <v>627881.76</v>
      </c>
      <c r="I14" s="12" t="n">
        <v>651136.64</v>
      </c>
      <c r="J14" s="12" t="n">
        <v>674391.5199999999</v>
      </c>
      <c r="K14" s="12" t="n">
        <v>697646.4</v>
      </c>
    </row>
    <row r="15">
      <c r="A15" s="13" t="inlineStr">
        <is>
          <t>Total assets</t>
        </is>
      </c>
      <c r="B15" s="14" t="n">
        <v>4968536</v>
      </c>
      <c r="C15" s="14" t="n">
        <v>5615035</v>
      </c>
      <c r="D15" s="14" t="n">
        <v>6354000</v>
      </c>
      <c r="E15" s="14" t="n">
        <v>8974482</v>
      </c>
      <c r="F15" s="14" t="n">
        <v>10153148</v>
      </c>
      <c r="G15" s="14" t="n">
        <v>11090456.89188985</v>
      </c>
      <c r="H15" s="14" t="n">
        <v>12218540.3153286</v>
      </c>
      <c r="I15" s="14" t="n">
        <v>13584776.90983965</v>
      </c>
      <c r="J15" s="14" t="n">
        <v>15200285.80833847</v>
      </c>
      <c r="K15" s="14" t="n">
        <v>17069370.75077152</v>
      </c>
    </row>
    <row r="17">
      <c r="A17" s="6" t="inlineStr">
        <is>
          <t>LIABILITIES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8" t="inlineStr">
        <is>
          <t>Accounts payable and accrued</t>
        </is>
      </c>
      <c r="B18" s="11" t="n">
        <v>415000</v>
      </c>
      <c r="C18" s="11" t="n">
        <v>515000</v>
      </c>
      <c r="D18" s="11" t="n">
        <v>586000</v>
      </c>
      <c r="E18" s="11" t="n">
        <v>632692</v>
      </c>
      <c r="F18" s="11" t="n">
        <v>856856</v>
      </c>
      <c r="G18" s="12" t="n">
        <v>966128.8416000002</v>
      </c>
      <c r="H18" s="12" t="n">
        <v>1091725.591008</v>
      </c>
      <c r="I18" s="12" t="n">
        <v>1222732.66192896</v>
      </c>
      <c r="J18" s="12" t="n">
        <v>1357233.254741146</v>
      </c>
      <c r="K18" s="12" t="n">
        <v>1492956.580215261</v>
      </c>
    </row>
    <row r="19">
      <c r="A19" s="8" t="inlineStr">
        <is>
          <t>Current portion of deferred revenue</t>
        </is>
      </c>
      <c r="B19" s="11" t="n">
        <v>604000</v>
      </c>
      <c r="C19" s="11" t="n">
        <v>624000</v>
      </c>
      <c r="D19" s="11" t="n">
        <v>700000</v>
      </c>
      <c r="E19" s="11" t="n">
        <v>737413</v>
      </c>
      <c r="F19" s="11" t="n">
        <v>778435</v>
      </c>
      <c r="G19" s="12" t="n">
        <v>905745.7890000001</v>
      </c>
      <c r="H19" s="12" t="n">
        <v>1023492.74157</v>
      </c>
      <c r="I19" s="12" t="n">
        <v>1146311.8705584</v>
      </c>
      <c r="J19" s="12" t="n">
        <v>1272406.176319824</v>
      </c>
      <c r="K19" s="12" t="n">
        <v>1399646.793951807</v>
      </c>
    </row>
    <row r="20">
      <c r="A20" s="13" t="inlineStr">
        <is>
          <t>Total current liabilities</t>
        </is>
      </c>
      <c r="B20" s="14" t="n">
        <v>1019000</v>
      </c>
      <c r="C20" s="14" t="n">
        <v>1139000</v>
      </c>
      <c r="D20" s="14" t="n">
        <v>1286000</v>
      </c>
      <c r="E20" s="14" t="n">
        <v>1370105</v>
      </c>
      <c r="F20" s="14" t="n">
        <v>1635291</v>
      </c>
      <c r="G20" s="14" t="n">
        <v>1871874.6306</v>
      </c>
      <c r="H20" s="14" t="n">
        <v>2115218.332578</v>
      </c>
      <c r="I20" s="14" t="n">
        <v>2369044.532487361</v>
      </c>
      <c r="J20" s="14" t="n">
        <v>2629639.43106097</v>
      </c>
      <c r="K20" s="14" t="n">
        <v>2892603.374167067</v>
      </c>
    </row>
    <row r="21">
      <c r="A21" s="8" t="inlineStr">
        <is>
          <t>Long-term deferred revenue</t>
        </is>
      </c>
      <c r="B21" s="11" t="n">
        <v>78000</v>
      </c>
      <c r="C21" s="11" t="n">
        <v>65000</v>
      </c>
      <c r="D21" s="11" t="n">
        <v>95000</v>
      </c>
      <c r="E21" s="11" t="n">
        <v>115168</v>
      </c>
      <c r="F21" s="11" t="n">
        <v>155997</v>
      </c>
      <c r="G21" s="12" t="n">
        <v>168476.76</v>
      </c>
      <c r="H21" s="12" t="n">
        <v>180956.52</v>
      </c>
      <c r="I21" s="12" t="n">
        <v>193436.28</v>
      </c>
      <c r="J21" s="12" t="n">
        <v>205916.04</v>
      </c>
      <c r="K21" s="12" t="n">
        <v>218395.8</v>
      </c>
    </row>
    <row r="22">
      <c r="A22" s="8" t="inlineStr">
        <is>
          <t>Long-term debt</t>
        </is>
      </c>
      <c r="B22" s="11" t="n">
        <v>350000</v>
      </c>
      <c r="C22" s="11" t="n">
        <v>348000</v>
      </c>
      <c r="D22" s="11" t="n">
        <v>648000</v>
      </c>
      <c r="E22" s="11" t="n">
        <v>2476183</v>
      </c>
      <c r="F22" s="11" t="n">
        <v>2480150</v>
      </c>
      <c r="G22" s="12" t="n">
        <v>2230150</v>
      </c>
      <c r="H22" s="12" t="n">
        <v>1980150</v>
      </c>
      <c r="I22" s="12" t="n">
        <v>1730150</v>
      </c>
      <c r="J22" s="12" t="n">
        <v>1480150</v>
      </c>
      <c r="K22" s="12" t="n">
        <v>1230150</v>
      </c>
    </row>
    <row r="23">
      <c r="A23" s="8" t="inlineStr">
        <is>
          <t>Other long-term liabilities</t>
        </is>
      </c>
      <c r="B23" s="11" t="n">
        <v>252000</v>
      </c>
      <c r="C23" s="11" t="n">
        <v>265000</v>
      </c>
      <c r="D23" s="11" t="n">
        <v>295000</v>
      </c>
      <c r="E23" s="11" t="n">
        <v>339448</v>
      </c>
      <c r="F23" s="11" t="n">
        <v>407529</v>
      </c>
      <c r="G23" s="12" t="n">
        <v>423830.16</v>
      </c>
      <c r="H23" s="12" t="n">
        <v>440131.32</v>
      </c>
      <c r="I23" s="12" t="n">
        <v>456432.48</v>
      </c>
      <c r="J23" s="12" t="n">
        <v>472733.64</v>
      </c>
      <c r="K23" s="12" t="n">
        <v>489034.8</v>
      </c>
    </row>
    <row r="24">
      <c r="A24" s="13" t="inlineStr">
        <is>
          <t>Total long-term liabilities</t>
        </is>
      </c>
      <c r="B24" s="14" t="n">
        <v>680000</v>
      </c>
      <c r="C24" s="14" t="n">
        <v>678000</v>
      </c>
      <c r="D24" s="14" t="n">
        <v>1038000</v>
      </c>
      <c r="E24" s="14" t="n">
        <v>2930799</v>
      </c>
      <c r="F24" s="14" t="n">
        <v>3043676</v>
      </c>
      <c r="G24" s="14" t="n">
        <v>2822456.92</v>
      </c>
      <c r="H24" s="14" t="n">
        <v>2601237.84</v>
      </c>
      <c r="I24" s="14" t="n">
        <v>2380018.76</v>
      </c>
      <c r="J24" s="14" t="n">
        <v>2158799.68</v>
      </c>
      <c r="K24" s="14" t="n">
        <v>1937580.6</v>
      </c>
    </row>
    <row r="26">
      <c r="A26" s="6" t="inlineStr">
        <is>
          <t>STOCKHOLDERS' EQUITY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13" t="inlineStr">
        <is>
          <t>Total stockholders' equity</t>
        </is>
      </c>
      <c r="B27" s="14" t="n">
        <v>3269536</v>
      </c>
      <c r="C27" s="14" t="n">
        <v>3798035</v>
      </c>
      <c r="D27" s="14" t="n">
        <v>4030000</v>
      </c>
      <c r="E27" s="14" t="n">
        <v>4673578</v>
      </c>
      <c r="F27" s="14" t="n">
        <v>5474181</v>
      </c>
      <c r="G27" s="14" t="n">
        <v>6396125.341289846</v>
      </c>
      <c r="H27" s="14" t="n">
        <v>7502084.142750604</v>
      </c>
      <c r="I27" s="14" t="n">
        <v>8835713.617352284</v>
      </c>
      <c r="J27" s="14" t="n">
        <v>10411846.6972775</v>
      </c>
      <c r="K27" s="14" t="n">
        <v>12239186.77660445</v>
      </c>
    </row>
    <row r="28">
      <c r="A28" s="13" t="inlineStr">
        <is>
          <t>Total liabilities and equity</t>
        </is>
      </c>
      <c r="B28" s="14" t="n">
        <v>4968536</v>
      </c>
      <c r="C28" s="14" t="n">
        <v>5615035</v>
      </c>
      <c r="D28" s="14" t="n">
        <v>6354000</v>
      </c>
      <c r="E28" s="14" t="n">
        <v>8974482</v>
      </c>
      <c r="F28" s="14" t="n">
        <v>10153148</v>
      </c>
      <c r="G28" s="14" t="n">
        <v>11090456.89188985</v>
      </c>
      <c r="H28" s="14" t="n">
        <v>12218540.3153286</v>
      </c>
      <c r="I28" s="14" t="n">
        <v>13584776.90983965</v>
      </c>
      <c r="J28" s="14" t="n">
        <v>15200285.80833847</v>
      </c>
      <c r="K28" s="14" t="n">
        <v>17069370.75077152</v>
      </c>
    </row>
    <row r="30">
      <c r="A30" s="6" t="inlineStr">
        <is>
          <t>KEY BS RATIOS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8" t="inlineStr">
        <is>
          <t>Net debt (cash)</t>
        </is>
      </c>
      <c r="B31" s="11" t="n">
        <v>-738940</v>
      </c>
      <c r="C31" s="11" t="n">
        <v>-534325</v>
      </c>
      <c r="D31" s="11" t="n">
        <v>-240000</v>
      </c>
      <c r="E31" s="11" t="n">
        <v>-167847</v>
      </c>
      <c r="F31" s="11" t="n">
        <v>-521167</v>
      </c>
      <c r="G31" s="12" t="n">
        <v>-1086185.738689844</v>
      </c>
      <c r="H31" s="12" t="n">
        <v>-1854687.193312605</v>
      </c>
      <c r="I31" s="12" t="n">
        <v>-2850521.175981723</v>
      </c>
      <c r="J31" s="12" t="n">
        <v>-4088640.418856181</v>
      </c>
      <c r="K31" s="12" t="n">
        <v>-5577890.240340996</v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Cadence – SCENARIOS (Bull / Base / Bear)</t>
        </is>
      </c>
    </row>
    <row r="2">
      <c r="A2" s="2" t="inlineStr">
        <is>
          <t>FY26E–FY30E base case from main model; Bull/Bear flex revenue ±200bps growth and ±200bps op margin per year.</t>
        </is>
      </c>
    </row>
    <row r="4">
      <c r="A4" s="5" t="inlineStr">
        <is>
          <t>Scenario</t>
        </is>
      </c>
      <c r="B4" s="5" t="inlineStr">
        <is>
          <t>FY2026E</t>
        </is>
      </c>
      <c r="C4" s="5" t="inlineStr">
        <is>
          <t>FY2027E</t>
        </is>
      </c>
      <c r="D4" s="5" t="inlineStr">
        <is>
          <t>FY2028E</t>
        </is>
      </c>
      <c r="E4" s="5" t="inlineStr">
        <is>
          <t>FY2029E</t>
        </is>
      </c>
      <c r="F4" s="5" t="inlineStr">
        <is>
          <t>FY2030E</t>
        </is>
      </c>
      <c r="G4" s="5" t="inlineStr">
        <is>
          <t>FY26-FY30 CAGR</t>
        </is>
      </c>
    </row>
    <row r="5">
      <c r="A5" s="6" t="inlineStr">
        <is>
          <t>REVENUE ($000s)</t>
        </is>
      </c>
      <c r="B5" s="7" t="n"/>
      <c r="C5" s="7" t="n"/>
      <c r="D5" s="7" t="n"/>
      <c r="E5" s="7" t="n"/>
      <c r="F5" s="7" t="n"/>
      <c r="G5" s="7" t="n"/>
    </row>
    <row r="6">
      <c r="A6" s="17" t="inlineStr">
        <is>
          <t>Bull case</t>
        </is>
      </c>
      <c r="B6" s="18" t="n">
        <v>6144240.439999999</v>
      </c>
      <c r="C6" s="18" t="n">
        <v>7065876.505999999</v>
      </c>
      <c r="D6" s="18" t="n">
        <v>8055099.216839998</v>
      </c>
      <c r="E6" s="18" t="n">
        <v>9102262.115029197</v>
      </c>
      <c r="F6" s="18" t="n">
        <v>10194533.5688327</v>
      </c>
      <c r="G6" s="19" t="n">
        <v>0.1349449308747599</v>
      </c>
    </row>
    <row r="7">
      <c r="A7" s="20" t="inlineStr">
        <is>
          <t>Base case</t>
        </is>
      </c>
      <c r="B7" s="21" t="n">
        <v>6038305.260000001</v>
      </c>
      <c r="C7" s="21" t="n">
        <v>6823284.9438</v>
      </c>
      <c r="D7" s="21" t="n">
        <v>7642079.137056001</v>
      </c>
      <c r="E7" s="21" t="n">
        <v>8482707.842132162</v>
      </c>
      <c r="F7" s="21" t="n">
        <v>9330978.626345379</v>
      </c>
      <c r="G7" s="22" t="n">
        <v>0.114943942975519</v>
      </c>
    </row>
    <row r="8">
      <c r="A8" s="23" t="inlineStr">
        <is>
          <t>Bear case</t>
        </is>
      </c>
      <c r="B8" s="24" t="n">
        <v>5932370.080000001</v>
      </c>
      <c r="C8" s="24" t="n">
        <v>6584930.788800002</v>
      </c>
      <c r="D8" s="24" t="n">
        <v>7243423.867680003</v>
      </c>
      <c r="E8" s="24" t="n">
        <v>7895332.015771204</v>
      </c>
      <c r="F8" s="24" t="n">
        <v>8526958.577032901</v>
      </c>
      <c r="G8" s="25" t="n">
        <v>0.09494291898231411</v>
      </c>
    </row>
    <row r="10">
      <c r="A10" s="6" t="inlineStr">
        <is>
          <t>OPERATING INCOME (GAAP) ($000s)</t>
        </is>
      </c>
      <c r="B10" s="7" t="n"/>
      <c r="C10" s="7" t="n"/>
      <c r="D10" s="7" t="n"/>
      <c r="E10" s="7" t="n"/>
      <c r="F10" s="7" t="n"/>
      <c r="G10" s="7" t="n"/>
    </row>
    <row r="11">
      <c r="A11" s="17" t="inlineStr">
        <is>
          <t>Bull case</t>
        </is>
      </c>
      <c r="B11" s="18" t="n">
        <v>1996878.143</v>
      </c>
      <c r="C11" s="18" t="n">
        <v>2402398.01204</v>
      </c>
      <c r="D11" s="18" t="n">
        <v>2819284.725893999</v>
      </c>
      <c r="E11" s="18" t="n">
        <v>3231303.050835365</v>
      </c>
      <c r="F11" s="18" t="n">
        <v>3670032.084779773</v>
      </c>
      <c r="G11" s="19" t="n">
        <v>0.1643393480931168</v>
      </c>
    </row>
    <row r="12">
      <c r="A12" s="20" t="inlineStr">
        <is>
          <t>Base case</t>
        </is>
      </c>
      <c r="B12" s="21" t="n">
        <v>1841683.1043</v>
      </c>
      <c r="C12" s="21" t="n">
        <v>2183451.182016</v>
      </c>
      <c r="D12" s="21" t="n">
        <v>2521886.115228481</v>
      </c>
      <c r="E12" s="21" t="n">
        <v>2841707.127114275</v>
      </c>
      <c r="F12" s="21" t="n">
        <v>3172532.732957429</v>
      </c>
      <c r="G12" s="22" t="n">
        <v>0.1456390327650241</v>
      </c>
    </row>
    <row r="13">
      <c r="A13" s="23" t="inlineStr">
        <is>
          <t>Bear case</t>
        </is>
      </c>
      <c r="B13" s="24" t="n">
        <v>1690725.4728</v>
      </c>
      <c r="C13" s="24" t="n">
        <v>1975479.23664</v>
      </c>
      <c r="D13" s="24" t="n">
        <v>2245461.398980801</v>
      </c>
      <c r="E13" s="24" t="n">
        <v>2487029.584967929</v>
      </c>
      <c r="F13" s="24" t="n">
        <v>2728626.744650528</v>
      </c>
      <c r="G13" s="25" t="n">
        <v>0.127113778590727</v>
      </c>
    </row>
    <row r="16">
      <c r="A16" s="6" t="inlineStr">
        <is>
          <t>ASSUMPTIONS BY SCENARIO</t>
        </is>
      </c>
      <c r="B16" s="7" t="n"/>
      <c r="C16" s="7" t="n"/>
      <c r="D16" s="7" t="n"/>
      <c r="E16" s="7" t="n"/>
      <c r="F16" s="7" t="n"/>
      <c r="G16" s="7" t="n"/>
    </row>
    <row r="17">
      <c r="A17" s="5" t="inlineStr">
        <is>
          <t>Scenario</t>
        </is>
      </c>
      <c r="B17" s="5" t="inlineStr">
        <is>
          <t>Revenue growth (avg)</t>
        </is>
      </c>
      <c r="C17" s="5" t="inlineStr">
        <is>
          <t>Op margin (avg)</t>
        </is>
      </c>
      <c r="D17" s="5" t="inlineStr">
        <is>
          <t>Notes (left to right)</t>
        </is>
      </c>
      <c r="E17" s="5" t="inlineStr"/>
      <c r="F17" s="5" t="inlineStr"/>
      <c r="G17" s="5" t="inlineStr"/>
    </row>
    <row r="18">
      <c r="A18" s="17" t="inlineStr">
        <is>
          <t>Bull case</t>
        </is>
      </c>
      <c r="B18" s="19" t="n">
        <v>0.14</v>
      </c>
      <c r="C18" s="19" t="n">
        <v>0.346</v>
      </c>
      <c r="D18" s="26" t="inlineStr">
        <is>
          <t>AI Physical-AI inflection, Hexagon synergies &gt; plan, EU AI Act benign, China revenue rebounds</t>
        </is>
      </c>
    </row>
    <row r="19">
      <c r="A19" s="20" t="inlineStr">
        <is>
          <t>Base case</t>
        </is>
      </c>
      <c r="B19" s="22" t="n">
        <v>0.12</v>
      </c>
      <c r="C19" s="22" t="n">
        <v>0.326</v>
      </c>
      <c r="D19" s="27" t="inlineStr">
        <is>
          <t>Guidance-consistent, Hexagon closes 2026, steady 14% growth dropping to 10%</t>
        </is>
      </c>
    </row>
    <row r="20">
      <c r="A20" s="23" t="inlineStr">
        <is>
          <t>Bear case</t>
        </is>
      </c>
      <c r="B20" s="25" t="n">
        <v>0.1</v>
      </c>
      <c r="C20" s="25" t="n">
        <v>0.306</v>
      </c>
      <c r="D20" s="28" t="inlineStr">
        <is>
          <t>BIS settlement audits, China export curbs return, EU AI Act bites, Hexagon delayed</t>
        </is>
      </c>
    </row>
  </sheetData>
  <mergeCells count="5">
    <mergeCell ref="D18:G18"/>
    <mergeCell ref="A1:G1"/>
    <mergeCell ref="D20:G20"/>
    <mergeCell ref="A2:G2"/>
    <mergeCell ref="D19:G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Cadence – DCF INPUTS (prepared for Task 3 Valuation)</t>
        </is>
      </c>
    </row>
    <row r="3">
      <c r="A3" s="5" t="inlineStr">
        <is>
          <t>Line</t>
        </is>
      </c>
      <c r="B3" s="5" t="inlineStr">
        <is>
          <t>FY2026E</t>
        </is>
      </c>
      <c r="C3" s="5" t="inlineStr">
        <is>
          <t>FY2027E</t>
        </is>
      </c>
      <c r="D3" s="5" t="inlineStr">
        <is>
          <t>FY2028E</t>
        </is>
      </c>
      <c r="E3" s="5" t="inlineStr">
        <is>
          <t>FY2029E</t>
        </is>
      </c>
      <c r="F3" s="5" t="inlineStr">
        <is>
          <t>FY2030E</t>
        </is>
      </c>
      <c r="G3" s="5" t="inlineStr">
        <is>
          <t>Terminal</t>
        </is>
      </c>
    </row>
    <row r="4">
      <c r="A4" s="6" t="inlineStr">
        <is>
          <t>FREE CASH FLOW BUILD ($000s)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Revenue</t>
        </is>
      </c>
      <c r="B5" s="11" t="n">
        <v>6038305.260000001</v>
      </c>
      <c r="C5" s="11" t="n">
        <v>6823284.9438</v>
      </c>
      <c r="D5" s="11" t="n">
        <v>7642079.137056001</v>
      </c>
      <c r="E5" s="11" t="n">
        <v>8482707.842132162</v>
      </c>
      <c r="F5" s="11" t="n">
        <v>9330978.626345379</v>
      </c>
      <c r="G5" s="11" t="n">
        <v>9704217.771399194</v>
      </c>
    </row>
    <row r="6">
      <c r="A6" s="8" t="inlineStr">
        <is>
          <t>Operating income (EBIT)</t>
        </is>
      </c>
      <c r="B6" s="11" t="n">
        <v>1907847.106326318</v>
      </c>
      <c r="C6" s="11" t="n">
        <v>2226376.794642939</v>
      </c>
      <c r="D6" s="11" t="n">
        <v>2573720.722233596</v>
      </c>
      <c r="E6" s="11" t="n">
        <v>2939061.664416349</v>
      </c>
      <c r="F6" s="11" t="n">
        <v>3315615.659868748</v>
      </c>
      <c r="G6" s="11" t="n">
        <v>3448240.286263498</v>
      </c>
    </row>
    <row r="7">
      <c r="A7" s="13" t="inlineStr">
        <is>
          <t>NOPAT (EBIT × (1-tax))</t>
        </is>
      </c>
      <c r="B7" s="14" t="n">
        <v>1402267.623149844</v>
      </c>
      <c r="C7" s="14" t="n">
        <v>1636386.94406256</v>
      </c>
      <c r="D7" s="14" t="n">
        <v>1891684.730841693</v>
      </c>
      <c r="E7" s="14" t="n">
        <v>2160210.323346017</v>
      </c>
      <c r="F7" s="14" t="n">
        <v>2436977.510003529</v>
      </c>
      <c r="G7" s="14" t="n">
        <v>2534456.610403671</v>
      </c>
    </row>
    <row r="8">
      <c r="A8" s="8" t="inlineStr">
        <is>
          <t>+ D&amp;A</t>
        </is>
      </c>
      <c r="B8" s="11" t="n">
        <v>301915.263</v>
      </c>
      <c r="C8" s="11" t="n">
        <v>341164.24719</v>
      </c>
      <c r="D8" s="11" t="n">
        <v>382103.9568528001</v>
      </c>
      <c r="E8" s="11" t="n">
        <v>424135.3921066081</v>
      </c>
      <c r="F8" s="11" t="n">
        <v>466548.931317269</v>
      </c>
      <c r="G8" s="11" t="n">
        <v>485210.8885699597</v>
      </c>
    </row>
    <row r="9">
      <c r="A9" s="8" t="inlineStr">
        <is>
          <t>- Capex</t>
        </is>
      </c>
      <c r="B9" s="11" t="n">
        <v>-163034.24202</v>
      </c>
      <c r="C9" s="11" t="n">
        <v>-184228.6934826</v>
      </c>
      <c r="D9" s="11" t="n">
        <v>-206336.136700512</v>
      </c>
      <c r="E9" s="11" t="n">
        <v>-229033.1117375684</v>
      </c>
      <c r="F9" s="11" t="n">
        <v>-251936.4229113252</v>
      </c>
      <c r="G9" s="11" t="n">
        <v>-262013.8798277782</v>
      </c>
    </row>
    <row r="10">
      <c r="A10" s="8" t="inlineStr">
        <is>
          <t>- Δ WC</t>
        </is>
      </c>
      <c r="B10" s="11" t="n">
        <v>-90574.57890000001</v>
      </c>
      <c r="C10" s="11" t="n">
        <v>-102349.274157</v>
      </c>
      <c r="D10" s="11" t="n">
        <v>-114631.18705584</v>
      </c>
      <c r="E10" s="11" t="n">
        <v>-127240.6176319824</v>
      </c>
      <c r="F10" s="11" t="n">
        <v>-139964.6793951807</v>
      </c>
      <c r="G10" s="11" t="n">
        <v>-145563.2665709879</v>
      </c>
    </row>
    <row r="11">
      <c r="A11" s="13" t="inlineStr">
        <is>
          <t>Unlevered FCF</t>
        </is>
      </c>
      <c r="B11" s="14" t="n">
        <v>1450574.065229844</v>
      </c>
      <c r="C11" s="14" t="n">
        <v>1690973.22361296</v>
      </c>
      <c r="D11" s="14" t="n">
        <v>1952821.363938141</v>
      </c>
      <c r="E11" s="14" t="n">
        <v>2228071.986083074</v>
      </c>
      <c r="F11" s="14" t="n">
        <v>2511625.339014292</v>
      </c>
      <c r="G11" s="14" t="n">
        <v>2612090.352574864</v>
      </c>
    </row>
    <row r="13">
      <c r="A13" s="6" t="inlineStr">
        <is>
          <t>DCF KEY ASSUMPTIONS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9" t="inlineStr">
        <is>
          <t>Tax rate</t>
        </is>
      </c>
      <c r="B14" s="30" t="n">
        <v>0.265</v>
      </c>
    </row>
    <row r="15">
      <c r="A15" s="29" t="inlineStr">
        <is>
          <t>Terminal growth rate</t>
        </is>
      </c>
      <c r="B15" s="30" t="n">
        <v>0.03</v>
      </c>
    </row>
    <row r="16">
      <c r="A16" s="29" t="inlineStr">
        <is>
          <t>WACC – central case</t>
        </is>
      </c>
      <c r="B16" s="30" t="n">
        <v>0.09</v>
      </c>
    </row>
    <row r="17">
      <c r="A17" s="29" t="inlineStr">
        <is>
          <t>Risk-free rate</t>
        </is>
      </c>
      <c r="B17" s="30" t="n">
        <v>0.043</v>
      </c>
    </row>
    <row r="18">
      <c r="A18" s="29" t="inlineStr">
        <is>
          <t>Equity risk premium</t>
        </is>
      </c>
      <c r="B18" s="30" t="n">
        <v>0.055</v>
      </c>
    </row>
    <row r="19">
      <c r="A19" s="29" t="inlineStr">
        <is>
          <t>Beta</t>
        </is>
      </c>
      <c r="B19" s="31" t="n">
        <v>1.15</v>
      </c>
    </row>
    <row r="20">
      <c r="A20" s="29" t="inlineStr">
        <is>
          <t>Cost of debt (after-tax)</t>
        </is>
      </c>
      <c r="B20" s="30" t="n">
        <v>0.034</v>
      </c>
    </row>
    <row r="21">
      <c r="A21" s="29" t="inlineStr">
        <is>
          <t>Debt / Cap weight</t>
        </is>
      </c>
      <c r="B21" s="30" t="n">
        <v>0.05</v>
      </c>
    </row>
    <row r="22">
      <c r="A22" s="29" t="inlineStr">
        <is>
          <t>Equity / Cap weight</t>
        </is>
      </c>
      <c r="B22" s="30" t="n">
        <v>0.95</v>
      </c>
    </row>
    <row r="24">
      <c r="A24" s="6" t="inlineStr">
        <is>
          <t>BACKLOG / RPO BRIDGE (Source: 10-K)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8" t="inlineStr">
        <is>
          <t>Year-end backlog ($M)</t>
        </is>
      </c>
      <c r="B25" s="11" t="n">
        <v>5600</v>
      </c>
      <c r="C25" s="11" t="n">
        <v>6800</v>
      </c>
      <c r="D25" s="11" t="n">
        <v>6800</v>
      </c>
      <c r="E25" s="11" t="n">
        <v>7000</v>
      </c>
      <c r="F25" s="11" t="n">
        <v>7800</v>
      </c>
      <c r="G25" s="12" t="n"/>
      <c r="H25" s="12" t="n"/>
      <c r="I25" s="12" t="n"/>
      <c r="J25" s="12" t="n"/>
      <c r="K25" s="12" t="n"/>
    </row>
    <row r="26">
      <c r="A26" s="8" t="inlineStr">
        <is>
          <t>RPO (12mo) ($M)</t>
        </is>
      </c>
      <c r="B26" s="11" t="n">
        <v>2900</v>
      </c>
      <c r="C26" s="11" t="n">
        <v>3200</v>
      </c>
      <c r="D26" s="11" t="n">
        <v>3400</v>
      </c>
      <c r="E26" s="11" t="n">
        <v>3500</v>
      </c>
      <c r="F26" s="11" t="n">
        <v>3800</v>
      </c>
      <c r="G26" s="12" t="n"/>
      <c r="H26" s="12" t="n"/>
      <c r="I26" s="12" t="n"/>
      <c r="J26" s="12" t="n"/>
      <c r="K26" s="12" t="n"/>
    </row>
    <row r="27">
      <c r="A27" s="8" t="inlineStr">
        <is>
          <t>Backlog / next-year revenue</t>
        </is>
      </c>
      <c r="B27" s="11" t="n"/>
      <c r="C27" s="11" t="n"/>
      <c r="D27" s="11" t="n"/>
      <c r="E27" s="11" t="n"/>
      <c r="F27" s="11" t="n"/>
      <c r="G27" s="12" t="n"/>
      <c r="H27" s="12" t="n"/>
      <c r="I27" s="12" t="n"/>
      <c r="J27" s="12" t="n"/>
      <c r="K27" s="12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4" t="inlineStr">
        <is>
          <t>Cadence (CDNS) – DCF Valuation</t>
        </is>
      </c>
    </row>
    <row r="2">
      <c r="A2" s="2" t="inlineStr">
        <is>
          <t>Valuation date: 2026-05-20 | Stock: $338.19 | Market cap: $93.3B | EV: $92.7B</t>
        </is>
      </c>
    </row>
    <row r="4">
      <c r="A4" s="5" t="inlineStr"/>
      <c r="B4" s="5" t="inlineStr">
        <is>
          <t>FY2026E</t>
        </is>
      </c>
      <c r="C4" s="5" t="inlineStr">
        <is>
          <t>FY2027E</t>
        </is>
      </c>
      <c r="D4" s="5" t="inlineStr">
        <is>
          <t>FY2028E</t>
        </is>
      </c>
      <c r="E4" s="5" t="inlineStr">
        <is>
          <t>FY2029E</t>
        </is>
      </c>
      <c r="F4" s="5" t="inlineStr">
        <is>
          <t>FY2030E</t>
        </is>
      </c>
      <c r="G4" s="5" t="inlineStr">
        <is>
          <t>Terminal</t>
        </is>
      </c>
    </row>
    <row r="5">
      <c r="A5" s="6" t="inlineStr">
        <is>
          <t>UNLEVERED FCF BUILD ($M)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8" t="inlineStr">
        <is>
          <t>Revenue</t>
        </is>
      </c>
      <c r="B6" s="11" t="n">
        <v>6175</v>
      </c>
      <c r="C6" s="11" t="n">
        <v>7035</v>
      </c>
      <c r="D6" s="11" t="n">
        <v>7950</v>
      </c>
      <c r="E6" s="11" t="n">
        <v>8830</v>
      </c>
      <c r="F6" s="11" t="n">
        <v>9685</v>
      </c>
      <c r="G6" s="11" t="n">
        <v>10024</v>
      </c>
    </row>
    <row r="7">
      <c r="A7" s="8" t="inlineStr">
        <is>
          <t>EBIT (operating income)</t>
        </is>
      </c>
      <c r="B7" s="11" t="n">
        <v>2748</v>
      </c>
      <c r="C7" s="11" t="n">
        <v>3187</v>
      </c>
      <c r="D7" s="11" t="n">
        <v>3657</v>
      </c>
      <c r="E7" s="11" t="n">
        <v>4106</v>
      </c>
      <c r="F7" s="11" t="n">
        <v>4552</v>
      </c>
      <c r="G7" s="11" t="n">
        <v>4711</v>
      </c>
    </row>
    <row r="8">
      <c r="A8" s="13" t="inlineStr">
        <is>
          <t>NOPAT (× (1-21%))</t>
        </is>
      </c>
      <c r="B8" s="32" t="n">
        <v>2171</v>
      </c>
      <c r="C8" s="32" t="n">
        <v>2518</v>
      </c>
      <c r="D8" s="32" t="n">
        <v>2889</v>
      </c>
      <c r="E8" s="32" t="n">
        <v>3244</v>
      </c>
      <c r="F8" s="32" t="n">
        <v>3596</v>
      </c>
      <c r="G8" s="32" t="n">
        <v>3722</v>
      </c>
    </row>
    <row r="9">
      <c r="A9" s="8" t="inlineStr">
        <is>
          <t>+ D&amp;A</t>
        </is>
      </c>
      <c r="B9" s="11" t="n">
        <v>309</v>
      </c>
      <c r="C9" s="11" t="n">
        <v>352</v>
      </c>
      <c r="D9" s="11" t="n">
        <v>398</v>
      </c>
      <c r="E9" s="11" t="n">
        <v>442</v>
      </c>
      <c r="F9" s="11" t="n">
        <v>484</v>
      </c>
      <c r="G9" s="11" t="n">
        <v>501</v>
      </c>
    </row>
    <row r="10">
      <c r="A10" s="8" t="inlineStr">
        <is>
          <t>- Capex</t>
        </is>
      </c>
      <c r="B10" s="11" t="n">
        <v>-167</v>
      </c>
      <c r="C10" s="11" t="n">
        <v>-190</v>
      </c>
      <c r="D10" s="11" t="n">
        <v>-215</v>
      </c>
      <c r="E10" s="11" t="n">
        <v>-238</v>
      </c>
      <c r="F10" s="11" t="n">
        <v>-261</v>
      </c>
      <c r="G10" s="11" t="n">
        <v>-270</v>
      </c>
    </row>
    <row r="11">
      <c r="A11" s="8" t="inlineStr">
        <is>
          <t>- Δ Working capital</t>
        </is>
      </c>
      <c r="B11" s="11" t="n">
        <v>-93</v>
      </c>
      <c r="C11" s="11" t="n">
        <v>-106</v>
      </c>
      <c r="D11" s="11" t="n">
        <v>-119</v>
      </c>
      <c r="E11" s="11" t="n">
        <v>-132</v>
      </c>
      <c r="F11" s="11" t="n">
        <v>-145</v>
      </c>
      <c r="G11" s="11" t="n">
        <v>-150</v>
      </c>
    </row>
    <row r="12">
      <c r="A12" s="13" t="inlineStr">
        <is>
          <t>Unlevered FCF</t>
        </is>
      </c>
      <c r="B12" s="32" t="n">
        <v>2220</v>
      </c>
      <c r="C12" s="32" t="n">
        <v>2574</v>
      </c>
      <c r="D12" s="32" t="n">
        <v>2953</v>
      </c>
      <c r="E12" s="32" t="n">
        <v>3314</v>
      </c>
      <c r="F12" s="32" t="n">
        <v>3674</v>
      </c>
      <c r="G12" s="32" t="n">
        <v>3803</v>
      </c>
    </row>
    <row r="14">
      <c r="A14" s="6" t="inlineStr">
        <is>
          <t>PRESENT VALUE OF FCF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8" t="inlineStr">
        <is>
          <t>Discount factor (WACC=9.4%)</t>
        </is>
      </c>
      <c r="B15" s="33" t="n">
        <v>0.9143262581243603</v>
      </c>
      <c r="C15" s="33" t="n">
        <v>0.8359925062956944</v>
      </c>
      <c r="D15" s="33" t="n">
        <v>0.7643699001013481</v>
      </c>
      <c r="E15" s="33" t="n">
        <v>0.6988834705825567</v>
      </c>
      <c r="F15" s="33" t="n">
        <v>0.6390075085227156</v>
      </c>
    </row>
    <row r="16">
      <c r="A16" s="13" t="inlineStr">
        <is>
          <t>PV of UFCF</t>
        </is>
      </c>
      <c r="B16" s="32" t="n">
        <v>2030</v>
      </c>
      <c r="C16" s="32" t="n">
        <v>2152</v>
      </c>
      <c r="D16" s="32" t="n">
        <v>2257</v>
      </c>
      <c r="E16" s="32" t="n">
        <v>2316</v>
      </c>
      <c r="F16" s="32" t="n">
        <v>2348</v>
      </c>
    </row>
    <row r="17">
      <c r="A17" s="34" t="inlineStr">
        <is>
          <t>Sum PV of explicit FCFs</t>
        </is>
      </c>
      <c r="B17" s="35" t="n">
        <v>11103</v>
      </c>
    </row>
    <row r="19">
      <c r="A19" s="6" t="inlineStr">
        <is>
          <t>TERMINAL VALUE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9" t="inlineStr">
        <is>
          <t>Terminal FCF (FY30 × (1+g))</t>
        </is>
      </c>
      <c r="B20" s="11" t="n">
        <v>3803</v>
      </c>
    </row>
    <row r="21">
      <c r="A21" s="29" t="inlineStr">
        <is>
          <t>Terminal growth (g)</t>
        </is>
      </c>
      <c r="B21" s="9" t="n">
        <v>0.035</v>
      </c>
    </row>
    <row r="22">
      <c r="A22" s="29" t="inlineStr">
        <is>
          <t>WACC</t>
        </is>
      </c>
      <c r="B22" s="9" t="n">
        <v>0.09370149999999999</v>
      </c>
    </row>
    <row r="23">
      <c r="A23" s="29" t="inlineStr">
        <is>
          <t>Terminal value (Gordon)</t>
        </is>
      </c>
      <c r="B23" s="11" t="n">
        <v>64778</v>
      </c>
    </row>
    <row r="24">
      <c r="A24" s="29" t="inlineStr">
        <is>
          <t>PV of terminal value</t>
        </is>
      </c>
      <c r="B24" s="11" t="n">
        <v>41394</v>
      </c>
    </row>
    <row r="26">
      <c r="A26" s="6" t="inlineStr">
        <is>
          <t>ENTERPRISE &amp; EQUITY VALUE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36" t="inlineStr">
        <is>
          <t>Enterprise value ($M)</t>
        </is>
      </c>
      <c r="B27" s="32" t="n">
        <v>52497</v>
      </c>
    </row>
    <row r="28">
      <c r="A28" s="29" t="inlineStr">
        <is>
          <t>(+) Cash &amp; short-term investments</t>
        </is>
      </c>
      <c r="B28" s="11" t="n">
        <v>3000</v>
      </c>
    </row>
    <row r="29">
      <c r="A29" s="29" t="inlineStr">
        <is>
          <t>(-) Total debt</t>
        </is>
      </c>
      <c r="B29" s="11" t="n">
        <v>-2480</v>
      </c>
    </row>
    <row r="30">
      <c r="A30" s="36" t="inlineStr">
        <is>
          <t>Equity value ($M)</t>
        </is>
      </c>
      <c r="B30" s="32" t="n">
        <v>53017</v>
      </c>
    </row>
    <row r="31">
      <c r="A31" s="29" t="inlineStr">
        <is>
          <t>Diluted shares (M)</t>
        </is>
      </c>
      <c r="B31" s="37" t="n">
        <v>273.3</v>
      </c>
    </row>
    <row r="32">
      <c r="A32" s="36" t="inlineStr">
        <is>
          <t>DCF value per share</t>
        </is>
      </c>
      <c r="B32" s="38" t="n">
        <v>193.99</v>
      </c>
    </row>
    <row r="33">
      <c r="A33" s="29" t="inlineStr">
        <is>
          <t>Current stock price</t>
        </is>
      </c>
      <c r="B33" s="15" t="n">
        <v>338.19</v>
      </c>
    </row>
    <row r="34">
      <c r="A34" s="36" t="inlineStr">
        <is>
          <t>Implied upside / (downside)</t>
        </is>
      </c>
      <c r="B34" s="39" t="n">
        <v>-0.4263975749557308</v>
      </c>
    </row>
    <row r="36">
      <c r="A36" s="6" t="inlineStr">
        <is>
          <t>WACC BUILD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9" t="inlineStr">
        <is>
          <t>Risk-free rate (10y UST)</t>
        </is>
      </c>
      <c r="B37" s="9" t="n">
        <v>0.043</v>
      </c>
    </row>
    <row r="38">
      <c r="A38" s="29" t="inlineStr">
        <is>
          <t>Equity risk premium</t>
        </is>
      </c>
      <c r="B38" s="9" t="n">
        <v>0.05</v>
      </c>
    </row>
    <row r="39">
      <c r="A39" s="29" t="inlineStr">
        <is>
          <t>Beta (5y monthly)</t>
        </is>
      </c>
      <c r="B39" s="37" t="n">
        <v>1.05</v>
      </c>
    </row>
    <row r="40">
      <c r="A40" s="29" t="inlineStr">
        <is>
          <t>Cost of equity (CAPM)</t>
        </is>
      </c>
      <c r="B40" s="9" t="n">
        <v>0.0955</v>
      </c>
    </row>
    <row r="41">
      <c r="A41" s="29" t="inlineStr">
        <is>
          <t>Pre-tax cost of debt</t>
        </is>
      </c>
      <c r="B41" s="9" t="n">
        <v>0.045</v>
      </c>
    </row>
    <row r="42">
      <c r="A42" s="29" t="inlineStr">
        <is>
          <t>After-tax cost of debt</t>
        </is>
      </c>
      <c r="B42" s="9" t="n">
        <v>0.03555</v>
      </c>
    </row>
    <row r="43">
      <c r="A43" s="29" t="inlineStr">
        <is>
          <t>Debt / Capital</t>
        </is>
      </c>
      <c r="B43" s="9" t="n">
        <v>0.03</v>
      </c>
    </row>
    <row r="44">
      <c r="A44" s="29" t="inlineStr">
        <is>
          <t>Equity / Capital</t>
        </is>
      </c>
      <c r="B44" s="9" t="n">
        <v>0.97</v>
      </c>
    </row>
    <row r="45">
      <c r="A45" s="36" t="inlineStr">
        <is>
          <t>WACC</t>
        </is>
      </c>
      <c r="B45" s="39" t="n">
        <v>0.09370149999999999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4" t="inlineStr">
        <is>
          <t>Cadence (CDNS) – DCF Sensitivity Analysis</t>
        </is>
      </c>
    </row>
    <row r="2">
      <c r="A2" s="2" t="inlineStr">
        <is>
          <t>DCF value per share — sensitivity to WACC and terminal growth</t>
        </is>
      </c>
    </row>
    <row r="4">
      <c r="A4" s="40" t="inlineStr">
        <is>
          <t>Terminal growth ↓ / WACC →</t>
        </is>
      </c>
      <c r="B4" s="41" t="inlineStr">
        <is>
          <t>7.9%</t>
        </is>
      </c>
      <c r="C4" s="41" t="inlineStr">
        <is>
          <t>8.4%</t>
        </is>
      </c>
      <c r="D4" s="41" t="inlineStr">
        <is>
          <t>8.9%</t>
        </is>
      </c>
      <c r="E4" s="41" t="inlineStr">
        <is>
          <t>9.4%</t>
        </is>
      </c>
      <c r="F4" s="41" t="inlineStr">
        <is>
          <t>9.9%</t>
        </is>
      </c>
      <c r="G4" s="41" t="inlineStr">
        <is>
          <t>10.4%</t>
        </is>
      </c>
      <c r="H4" s="41" t="inlineStr">
        <is>
          <t>10.9%</t>
        </is>
      </c>
    </row>
    <row r="5">
      <c r="A5" s="41" t="inlineStr">
        <is>
          <t>2.0%</t>
        </is>
      </c>
      <c r="B5" s="42" t="n">
        <v>204.23</v>
      </c>
      <c r="C5" s="42" t="n">
        <v>187.71</v>
      </c>
      <c r="D5" s="42" t="n">
        <v>173.6</v>
      </c>
      <c r="E5" s="42" t="n">
        <v>161.41</v>
      </c>
      <c r="F5" s="42" t="n">
        <v>150.78</v>
      </c>
      <c r="G5" s="42" t="n">
        <v>141.44</v>
      </c>
      <c r="H5" s="42" t="n">
        <v>133.15</v>
      </c>
    </row>
    <row r="6">
      <c r="A6" s="41" t="inlineStr">
        <is>
          <t>2.5%</t>
        </is>
      </c>
      <c r="B6" s="42" t="n">
        <v>219.98</v>
      </c>
      <c r="C6" s="42" t="n">
        <v>200.74</v>
      </c>
      <c r="D6" s="42" t="n">
        <v>184.53</v>
      </c>
      <c r="E6" s="42" t="n">
        <v>170.69</v>
      </c>
      <c r="F6" s="42" t="n">
        <v>158.74</v>
      </c>
      <c r="G6" s="42" t="n">
        <v>148.31</v>
      </c>
      <c r="H6" s="42" t="n">
        <v>139.14</v>
      </c>
    </row>
    <row r="7">
      <c r="A7" s="41" t="inlineStr">
        <is>
          <t>3.0%</t>
        </is>
      </c>
      <c r="B7" s="42" t="n">
        <v>238.96</v>
      </c>
      <c r="C7" s="42" t="n">
        <v>216.2</v>
      </c>
      <c r="D7" s="42" t="n">
        <v>197.32</v>
      </c>
      <c r="E7" s="42" t="n">
        <v>181.42</v>
      </c>
      <c r="F7" s="42" t="n">
        <v>167.85</v>
      </c>
      <c r="G7" s="42" t="n">
        <v>156.12</v>
      </c>
      <c r="H7" s="42" t="n">
        <v>145.89</v>
      </c>
    </row>
    <row r="8">
      <c r="A8" s="41" t="inlineStr">
        <is>
          <t>3.5%</t>
        </is>
      </c>
      <c r="B8" s="42" t="n">
        <v>262.29</v>
      </c>
      <c r="C8" s="42" t="n">
        <v>234.83</v>
      </c>
      <c r="D8" s="42" t="n">
        <v>212.5</v>
      </c>
      <c r="E8" s="42" t="n">
        <v>193.99</v>
      </c>
      <c r="F8" s="42" t="n">
        <v>178.39</v>
      </c>
      <c r="G8" s="42" t="n">
        <v>165.07</v>
      </c>
      <c r="H8" s="42" t="n">
        <v>153.56</v>
      </c>
    </row>
    <row r="9">
      <c r="A9" s="41" t="inlineStr">
        <is>
          <t>4.0%</t>
        </is>
      </c>
      <c r="B9" s="42" t="n">
        <v>291.64</v>
      </c>
      <c r="C9" s="42" t="n">
        <v>257.73</v>
      </c>
      <c r="D9" s="42" t="n">
        <v>230.8</v>
      </c>
      <c r="E9" s="42" t="n">
        <v>208.89</v>
      </c>
      <c r="F9" s="42" t="n">
        <v>190.72</v>
      </c>
      <c r="G9" s="42" t="n">
        <v>175.42</v>
      </c>
      <c r="H9" s="42" t="n">
        <v>162.35</v>
      </c>
    </row>
    <row r="12">
      <c r="A12" s="6" t="inlineStr">
        <is>
          <t>IMPLIED UPSIDE / DOWNSIDE vs. current stock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40" t="inlineStr">
        <is>
          <t>Terminal growth ↓ / WACC →</t>
        </is>
      </c>
      <c r="B13" s="41" t="inlineStr">
        <is>
          <t>7.9%</t>
        </is>
      </c>
      <c r="C13" s="41" t="inlineStr">
        <is>
          <t>8.4%</t>
        </is>
      </c>
      <c r="D13" s="41" t="inlineStr">
        <is>
          <t>8.9%</t>
        </is>
      </c>
      <c r="E13" s="41" t="inlineStr">
        <is>
          <t>9.4%</t>
        </is>
      </c>
      <c r="F13" s="41" t="inlineStr">
        <is>
          <t>9.9%</t>
        </is>
      </c>
      <c r="G13" s="41" t="inlineStr">
        <is>
          <t>10.4%</t>
        </is>
      </c>
      <c r="H13" s="41" t="inlineStr">
        <is>
          <t>10.9%</t>
        </is>
      </c>
    </row>
    <row r="14">
      <c r="A14" s="41" t="inlineStr">
        <is>
          <t>2.0%</t>
        </is>
      </c>
      <c r="B14" s="30" t="n">
        <v>-0.3961063192953953</v>
      </c>
      <c r="C14" s="30" t="n">
        <v>-0.4449682365223776</v>
      </c>
      <c r="D14" s="30" t="n">
        <v>-0.4866865993744616</v>
      </c>
      <c r="E14" s="30" t="n">
        <v>-0.5227159752175883</v>
      </c>
      <c r="F14" s="30" t="n">
        <v>-0.5541412714891045</v>
      </c>
      <c r="G14" s="30" t="n">
        <v>-0.5817881464613113</v>
      </c>
      <c r="H14" s="30" t="n">
        <v>-0.6062960776291851</v>
      </c>
    </row>
    <row r="15">
      <c r="A15" s="41" t="inlineStr">
        <is>
          <t>2.5%</t>
        </is>
      </c>
      <c r="B15" s="30" t="n">
        <v>-0.3495404176280155</v>
      </c>
      <c r="C15" s="30" t="n">
        <v>-0.4064318306797399</v>
      </c>
      <c r="D15" s="30" t="n">
        <v>-0.4543601802483993</v>
      </c>
      <c r="E15" s="30" t="n">
        <v>-0.4952831216264663</v>
      </c>
      <c r="F15" s="30" t="n">
        <v>-0.5306270526093573</v>
      </c>
      <c r="G15" s="30" t="n">
        <v>-0.5614558711836199</v>
      </c>
      <c r="H15" s="30" t="n">
        <v>-0.5885792476516507</v>
      </c>
    </row>
    <row r="16">
      <c r="A16" s="41" t="inlineStr">
        <is>
          <t>3.0%</t>
        </is>
      </c>
      <c r="B16" s="30" t="n">
        <v>-0.293413023672435</v>
      </c>
      <c r="C16" s="30" t="n">
        <v>-0.3607193858358381</v>
      </c>
      <c r="D16" s="30" t="n">
        <v>-0.4165268457750181</v>
      </c>
      <c r="E16" s="30" t="n">
        <v>-0.4635437990210945</v>
      </c>
      <c r="F16" s="30" t="n">
        <v>-0.503690169176471</v>
      </c>
      <c r="G16" s="30" t="n">
        <v>-0.5383648630066402</v>
      </c>
      <c r="H16" s="30" t="n">
        <v>-0.5686112750685071</v>
      </c>
    </row>
    <row r="17">
      <c r="A17" s="41" t="inlineStr">
        <is>
          <t>3.5%</t>
        </is>
      </c>
      <c r="B17" s="30" t="n">
        <v>-0.2244422733204884</v>
      </c>
      <c r="C17" s="30" t="n">
        <v>-0.3056206911138214</v>
      </c>
      <c r="D17" s="30" t="n">
        <v>-0.3716483944104179</v>
      </c>
      <c r="E17" s="30" t="n">
        <v>-0.4263975749557308</v>
      </c>
      <c r="F17" s="30" t="n">
        <v>-0.4725246752033486</v>
      </c>
      <c r="G17" s="30" t="n">
        <v>-0.5119127916538957</v>
      </c>
      <c r="H17" s="30" t="n">
        <v>-0.5459339990677743</v>
      </c>
    </row>
    <row r="18">
      <c r="A18" s="41" t="inlineStr">
        <is>
          <t>4.0%</t>
        </is>
      </c>
      <c r="B18" s="30" t="n">
        <v>-0.1376503143973115</v>
      </c>
      <c r="C18" s="30" t="n">
        <v>-0.2379140321978942</v>
      </c>
      <c r="D18" s="30" t="n">
        <v>-0.3175549391209691</v>
      </c>
      <c r="E18" s="30" t="n">
        <v>-0.3823341839461731</v>
      </c>
      <c r="F18" s="30" t="n">
        <v>-0.436050033427679</v>
      </c>
      <c r="G18" s="30" t="n">
        <v>-0.4813082166155638</v>
      </c>
      <c r="H18" s="30" t="n">
        <v>-0.5199558816005916</v>
      </c>
    </row>
  </sheetData>
  <mergeCells count="1">
    <mergeCell ref="A1:J1"/>
  </mergeCells>
  <conditionalFormatting sqref="B5:H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4" t="inlineStr">
        <is>
          <t>Cadence (CDNS) – Comparable Companies Analysis</t>
        </is>
      </c>
    </row>
    <row r="2">
      <c r="A2" s="2" t="inlineStr">
        <is>
          <t>Forward multiples as of 2026-05-20. Peers selected for mission-critical software and design-IP exposure.</t>
        </is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Fwd P/E</t>
        </is>
      </c>
      <c r="D4" s="5" t="inlineStr">
        <is>
          <t>EV/Rev</t>
        </is>
      </c>
      <c r="E4" s="5" t="inlineStr">
        <is>
          <t>EV/EBITDA</t>
        </is>
      </c>
      <c r="F4" s="5" t="inlineStr">
        <is>
          <t>NTM Rev Growth</t>
        </is>
      </c>
      <c r="G4" s="5" t="inlineStr">
        <is>
          <t>Quality tier</t>
        </is>
      </c>
    </row>
    <row r="5">
      <c r="A5" s="36" t="inlineStr">
        <is>
          <t>CDNS</t>
        </is>
      </c>
      <c r="B5" s="36" t="inlineStr">
        <is>
          <t>Cadence (self)</t>
        </is>
      </c>
      <c r="C5" s="43" t="n">
        <v>42.8</v>
      </c>
      <c r="D5" s="43" t="n">
        <v>15</v>
      </c>
      <c r="E5" s="43" t="n">
        <v>30.3</v>
      </c>
      <c r="F5" s="44" t="n">
        <v>0.1392712550607287</v>
      </c>
      <c r="G5" s="36" t="inlineStr">
        <is>
          <t>Self</t>
        </is>
      </c>
    </row>
    <row r="6">
      <c r="A6" s="29" t="inlineStr">
        <is>
          <t>SNPS</t>
        </is>
      </c>
      <c r="B6" s="29" t="inlineStr">
        <is>
          <t>Synopsys</t>
        </is>
      </c>
      <c r="C6" s="45" t="n">
        <v>29.6</v>
      </c>
      <c r="D6" s="45" t="n">
        <v>11.3</v>
      </c>
      <c r="E6" s="45" t="n">
        <v>24.8</v>
      </c>
      <c r="F6" s="46" t="n">
        <v>0.12</v>
      </c>
      <c r="G6" s="29" t="inlineStr">
        <is>
          <t>Direct peer</t>
        </is>
      </c>
    </row>
    <row r="7">
      <c r="A7" s="29" t="inlineStr">
        <is>
          <t>ANSS</t>
        </is>
      </c>
      <c r="B7" s="29" t="inlineStr">
        <is>
          <t>Ansys (pre-acq)</t>
        </is>
      </c>
      <c r="C7" s="45" t="n">
        <v>38</v>
      </c>
      <c r="D7" s="45" t="n">
        <v>13.5</v>
      </c>
      <c r="E7" s="45" t="n">
        <v>32</v>
      </c>
      <c r="F7" s="46" t="n">
        <v>0.1</v>
      </c>
      <c r="G7" s="29" t="inlineStr">
        <is>
          <t>T1</t>
        </is>
      </c>
    </row>
    <row r="8">
      <c r="A8" s="29" t="inlineStr">
        <is>
          <t>ANET</t>
        </is>
      </c>
      <c r="B8" s="29" t="inlineStr">
        <is>
          <t>Arista Networks</t>
        </is>
      </c>
      <c r="C8" s="45" t="n">
        <v>50</v>
      </c>
      <c r="D8" s="45" t="n">
        <v>18.5</v>
      </c>
      <c r="E8" s="45" t="n">
        <v>38</v>
      </c>
      <c r="F8" s="46" t="n">
        <v>0.22</v>
      </c>
      <c r="G8" s="29" t="inlineStr">
        <is>
          <t>T1</t>
        </is>
      </c>
    </row>
    <row r="9">
      <c r="A9" s="29" t="inlineStr">
        <is>
          <t>ARM</t>
        </is>
      </c>
      <c r="B9" s="29" t="inlineStr">
        <is>
          <t>Arm Holdings</t>
        </is>
      </c>
      <c r="C9" s="45" t="n">
        <v>122</v>
      </c>
      <c r="D9" s="45" t="n">
        <v>43</v>
      </c>
      <c r="E9" s="45" t="n">
        <v>100</v>
      </c>
      <c r="F9" s="46" t="n">
        <v>0.25</v>
      </c>
      <c r="G9" s="29" t="inlineStr">
        <is>
          <t>T1</t>
        </is>
      </c>
    </row>
    <row r="10">
      <c r="A10" s="29" t="inlineStr">
        <is>
          <t>INTU</t>
        </is>
      </c>
      <c r="B10" s="29" t="inlineStr">
        <is>
          <t>Intuit</t>
        </is>
      </c>
      <c r="C10" s="45" t="n">
        <v>26</v>
      </c>
      <c r="D10" s="45" t="n">
        <v>9.5</v>
      </c>
      <c r="E10" s="45" t="n">
        <v>20</v>
      </c>
      <c r="F10" s="46" t="n">
        <v>0.13</v>
      </c>
      <c r="G10" s="29" t="inlineStr">
        <is>
          <t>T1</t>
        </is>
      </c>
    </row>
    <row r="11">
      <c r="A11" s="29" t="inlineStr">
        <is>
          <t>NOW</t>
        </is>
      </c>
      <c r="B11" s="29" t="inlineStr">
        <is>
          <t>ServiceNow</t>
        </is>
      </c>
      <c r="C11" s="45" t="n">
        <v>24</v>
      </c>
      <c r="D11" s="45" t="n">
        <v>10.5</v>
      </c>
      <c r="E11" s="45" t="n">
        <v>17</v>
      </c>
      <c r="F11" s="46" t="n">
        <v>0.22</v>
      </c>
      <c r="G11" s="29" t="inlineStr">
        <is>
          <t>T1</t>
        </is>
      </c>
    </row>
    <row r="12">
      <c r="A12" s="29" t="inlineStr">
        <is>
          <t>ADBE</t>
        </is>
      </c>
      <c r="B12" s="29" t="inlineStr">
        <is>
          <t>Adobe</t>
        </is>
      </c>
      <c r="C12" s="45" t="n">
        <v>11</v>
      </c>
      <c r="D12" s="45" t="n">
        <v>6.5</v>
      </c>
      <c r="E12" s="45" t="n">
        <v>11</v>
      </c>
      <c r="F12" s="46" t="n">
        <v>0.1</v>
      </c>
      <c r="G12" s="29" t="inlineStr">
        <is>
          <t>T2</t>
        </is>
      </c>
    </row>
    <row r="13">
      <c r="A13" s="29" t="inlineStr">
        <is>
          <t>ADSK</t>
        </is>
      </c>
      <c r="B13" s="29" t="inlineStr">
        <is>
          <t>Autodesk</t>
        </is>
      </c>
      <c r="C13" s="45" t="n">
        <v>38</v>
      </c>
      <c r="D13" s="45" t="n">
        <v>9.199999999999999</v>
      </c>
      <c r="E13" s="45" t="n">
        <v>22</v>
      </c>
      <c r="F13" s="46" t="n">
        <v>0.11</v>
      </c>
      <c r="G13" s="29" t="inlineStr">
        <is>
          <t>T2</t>
        </is>
      </c>
    </row>
    <row r="14">
      <c r="A14" s="29" t="inlineStr">
        <is>
          <t>PTC</t>
        </is>
      </c>
      <c r="B14" s="29" t="inlineStr">
        <is>
          <t>PTC</t>
        </is>
      </c>
      <c r="C14" s="45" t="n">
        <v>38</v>
      </c>
      <c r="D14" s="45" t="n">
        <v>11.5</v>
      </c>
      <c r="E14" s="45" t="n">
        <v>28</v>
      </c>
      <c r="F14" s="46" t="n">
        <v>0.1</v>
      </c>
      <c r="G14" s="29" t="inlineStr">
        <is>
          <t>T2</t>
        </is>
      </c>
    </row>
    <row r="15">
      <c r="A15" s="29" t="inlineStr">
        <is>
          <t>CRM</t>
        </is>
      </c>
      <c r="B15" s="29" t="inlineStr">
        <is>
          <t>Salesforce</t>
        </is>
      </c>
      <c r="C15" s="45" t="n">
        <v>18</v>
      </c>
      <c r="D15" s="45" t="n">
        <v>5.8</v>
      </c>
      <c r="E15" s="45" t="n">
        <v>14</v>
      </c>
      <c r="F15" s="46" t="n">
        <v>0.09</v>
      </c>
      <c r="G15" s="29" t="inlineStr">
        <is>
          <t>T2</t>
        </is>
      </c>
    </row>
    <row r="17">
      <c r="A17" s="6" t="inlineStr">
        <is>
          <t>STATISTICAL SUMMARY (peer set ex. self / direct peer)</t>
        </is>
      </c>
      <c r="B17" s="7" t="n"/>
      <c r="C17" s="7" t="n"/>
      <c r="D17" s="7" t="n"/>
      <c r="E17" s="7" t="n"/>
      <c r="F17" s="7" t="n"/>
      <c r="G17" s="7" t="n"/>
    </row>
    <row r="18">
      <c r="A18" s="34" t="inlineStr">
        <is>
          <t>Max</t>
        </is>
      </c>
      <c r="C18" s="45" t="n">
        <v>122</v>
      </c>
      <c r="D18" s="45" t="n">
        <v>43</v>
      </c>
      <c r="E18" s="45" t="n">
        <v>100</v>
      </c>
      <c r="F18" s="46" t="n">
        <v>0.25</v>
      </c>
    </row>
    <row r="19">
      <c r="A19" s="34" t="inlineStr">
        <is>
          <t>75th %ile</t>
        </is>
      </c>
      <c r="C19" s="45" t="n">
        <v>38</v>
      </c>
      <c r="D19" s="45" t="n">
        <v>13.5</v>
      </c>
      <c r="E19" s="45" t="n">
        <v>32</v>
      </c>
      <c r="F19" s="46" t="n">
        <v>0.22</v>
      </c>
    </row>
    <row r="20">
      <c r="A20" s="34" t="inlineStr">
        <is>
          <t>Median</t>
        </is>
      </c>
      <c r="C20" s="45" t="n">
        <v>38</v>
      </c>
      <c r="D20" s="45" t="n">
        <v>10.5</v>
      </c>
      <c r="E20" s="45" t="n">
        <v>22</v>
      </c>
      <c r="F20" s="46" t="n">
        <v>0.11</v>
      </c>
    </row>
    <row r="21">
      <c r="A21" s="34" t="inlineStr">
        <is>
          <t>Mean</t>
        </is>
      </c>
      <c r="C21" s="45" t="n">
        <v>40.55555555555556</v>
      </c>
      <c r="D21" s="45" t="n">
        <v>14.22222222222222</v>
      </c>
      <c r="E21" s="45" t="n">
        <v>31.33333333333333</v>
      </c>
      <c r="F21" s="46" t="n">
        <v>0.1466666666666667</v>
      </c>
    </row>
    <row r="22">
      <c r="A22" s="34" t="inlineStr">
        <is>
          <t>25th %ile</t>
        </is>
      </c>
      <c r="C22" s="45" t="n">
        <v>24</v>
      </c>
      <c r="D22" s="45" t="n">
        <v>9.199999999999999</v>
      </c>
      <c r="E22" s="45" t="n">
        <v>17</v>
      </c>
      <c r="F22" s="46" t="n">
        <v>0.1</v>
      </c>
    </row>
    <row r="23">
      <c r="A23" s="34" t="inlineStr">
        <is>
          <t>Min</t>
        </is>
      </c>
      <c r="C23" s="45" t="n">
        <v>11</v>
      </c>
      <c r="D23" s="45" t="n">
        <v>5.8</v>
      </c>
      <c r="E23" s="45" t="n">
        <v>11</v>
      </c>
      <c r="F23" s="46" t="n">
        <v>0.09</v>
      </c>
    </row>
    <row r="25">
      <c r="A25" s="6" t="inlineStr">
        <is>
          <t>IMPLIED VALUATION FROM PEER MULTIPLES</t>
        </is>
      </c>
      <c r="B25" s="7" t="n"/>
      <c r="C25" s="7" t="n"/>
      <c r="D25" s="7" t="n"/>
      <c r="E25" s="7" t="n"/>
      <c r="F25" s="7" t="n"/>
      <c r="G25" s="7" t="n"/>
    </row>
    <row r="26">
      <c r="A26" s="5" t="inlineStr">
        <is>
          <t>Method</t>
        </is>
      </c>
      <c r="B26" s="5" t="inlineStr">
        <is>
          <t>Multiple (median)</t>
        </is>
      </c>
      <c r="C26" s="5" t="inlineStr">
        <is>
          <t>Metric</t>
        </is>
      </c>
      <c r="D26" s="5" t="inlineStr">
        <is>
          <t>Implied EV ($M)</t>
        </is>
      </c>
      <c r="E26" s="5" t="inlineStr">
        <is>
          <t>Equity ($M)</t>
        </is>
      </c>
      <c r="F26" s="5" t="inlineStr">
        <is>
          <t>Per share</t>
        </is>
      </c>
      <c r="G26" s="5" t="inlineStr">
        <is>
          <t>vs. current</t>
        </is>
      </c>
    </row>
    <row r="27">
      <c r="A27" s="29" t="inlineStr">
        <is>
          <t>P/E (forward)</t>
        </is>
      </c>
      <c r="B27" s="47" t="n">
        <v>38</v>
      </c>
      <c r="C27" s="48" t="n">
        <v>7.9</v>
      </c>
      <c r="D27" s="49" t="n">
        <v>81525</v>
      </c>
      <c r="E27" s="49" t="n">
        <v>82045</v>
      </c>
      <c r="F27" s="48" t="n">
        <v>300.2</v>
      </c>
      <c r="G27" s="50" t="n">
        <v>-0.1123333037641563</v>
      </c>
    </row>
    <row r="28">
      <c r="A28" s="29" t="inlineStr">
        <is>
          <t>EV/Revenue (forward)</t>
        </is>
      </c>
      <c r="B28" s="47" t="n">
        <v>10.5</v>
      </c>
      <c r="C28" s="49" t="n">
        <v>6175</v>
      </c>
      <c r="D28" s="49" t="n">
        <v>64838</v>
      </c>
      <c r="E28" s="49" t="n">
        <v>65358</v>
      </c>
      <c r="F28" s="48" t="n">
        <v>239.14</v>
      </c>
      <c r="G28" s="50" t="n">
        <v>-0.2928768782851419</v>
      </c>
    </row>
    <row r="29">
      <c r="A29" s="29" t="inlineStr">
        <is>
          <t>EV/EBITDA (forward)</t>
        </is>
      </c>
      <c r="B29" s="47" t="n">
        <v>22</v>
      </c>
      <c r="C29" s="49" t="n">
        <v>3057</v>
      </c>
      <c r="D29" s="49" t="n">
        <v>67254</v>
      </c>
      <c r="E29" s="49" t="n">
        <v>67774</v>
      </c>
      <c r="F29" s="48" t="n">
        <v>247.98</v>
      </c>
      <c r="G29" s="50" t="n">
        <v>-0.2667320131415247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Cadence (CDNS) – Valuation Summary (Football Field)</t>
        </is>
      </c>
    </row>
    <row r="2">
      <c r="A2" s="2" t="inlineStr">
        <is>
          <t>Current price: $338.19 | Diluted shares: 273.3M | Market cap: $93.3B</t>
        </is>
      </c>
    </row>
    <row r="4">
      <c r="A4" s="5" t="inlineStr">
        <is>
          <t>Methodology</t>
        </is>
      </c>
      <c r="B4" s="5" t="inlineStr">
        <is>
          <t>Low ($)</t>
        </is>
      </c>
      <c r="C4" s="5" t="inlineStr">
        <is>
          <t>Mid ($)</t>
        </is>
      </c>
      <c r="D4" s="5" t="inlineStr">
        <is>
          <t>High ($)</t>
        </is>
      </c>
      <c r="E4" s="5" t="inlineStr">
        <is>
          <t>Weight</t>
        </is>
      </c>
      <c r="F4" s="5" t="inlineStr">
        <is>
          <t>Notes</t>
        </is>
      </c>
      <c r="G4" s="5" t="inlineStr"/>
    </row>
    <row r="5">
      <c r="A5" t="inlineStr">
        <is>
          <t>DCF (WACC ±100bps, g 2.5-3.5%)</t>
        </is>
      </c>
      <c r="B5" s="48" t="n">
        <v>164.89</v>
      </c>
      <c r="C5" s="48" t="n">
        <v>193.9866041257214</v>
      </c>
      <c r="D5" s="48" t="n">
        <v>232.78</v>
      </c>
      <c r="E5" s="50" t="n">
        <v>0.3</v>
      </c>
      <c r="F5" t="inlineStr">
        <is>
          <t>Intrinsic value via discounted UFCF</t>
        </is>
      </c>
    </row>
    <row r="6">
      <c r="A6" t="inlineStr">
        <is>
          <t>Comps – Fwd P/E (25th–75th pct)</t>
        </is>
      </c>
      <c r="B6" s="48" t="n">
        <v>255.17</v>
      </c>
      <c r="C6" s="48" t="n">
        <v>300.2</v>
      </c>
      <c r="D6" s="48" t="n">
        <v>360.24</v>
      </c>
      <c r="E6" s="50" t="n">
        <v>0.3</v>
      </c>
      <c r="F6" t="inlineStr">
        <is>
          <t>38.0x × FY26E EPS $7.90</t>
        </is>
      </c>
    </row>
    <row r="7">
      <c r="A7" t="inlineStr">
        <is>
          <t>Comps – EV/Revenue (25th–75th)</t>
        </is>
      </c>
      <c r="B7" s="48" t="n">
        <v>203.27</v>
      </c>
      <c r="C7" s="48" t="n">
        <v>239.14</v>
      </c>
      <c r="D7" s="48" t="n">
        <v>286.97</v>
      </c>
      <c r="E7" s="50" t="n">
        <v>0.15</v>
      </c>
      <c r="F7" t="inlineStr">
        <is>
          <t>10.5x × FY26E revenue</t>
        </is>
      </c>
    </row>
    <row r="8">
      <c r="A8" t="inlineStr">
        <is>
          <t>Comps – EV/EBITDA (25th–75th)</t>
        </is>
      </c>
      <c r="B8" s="48" t="n">
        <v>210.79</v>
      </c>
      <c r="C8" s="48" t="n">
        <v>247.98</v>
      </c>
      <c r="D8" s="48" t="n">
        <v>297.58</v>
      </c>
      <c r="E8" s="50" t="n">
        <v>0.15</v>
      </c>
      <c r="F8" t="inlineStr">
        <is>
          <t>22.0x × FY26E EBITDA</t>
        </is>
      </c>
    </row>
    <row r="9">
      <c r="A9" t="inlineStr">
        <is>
          <t>Analyst consensus 12mo target</t>
        </is>
      </c>
      <c r="B9" s="48" t="n">
        <v>275</v>
      </c>
      <c r="C9" s="48" t="n">
        <v>379.55</v>
      </c>
      <c r="D9" s="48" t="n">
        <v>425</v>
      </c>
      <c r="E9" s="50" t="n">
        <v>0.1</v>
      </c>
      <c r="F9" t="inlineStr">
        <is>
          <t>22 analysts | Buys: 22 / Sells: 0</t>
        </is>
      </c>
    </row>
    <row r="11">
      <c r="A11" s="36" t="inlineStr">
        <is>
          <t>Weighted blended target</t>
        </is>
      </c>
      <c r="B11" s="51" t="n">
        <v>259.28</v>
      </c>
    </row>
    <row r="13">
      <c r="A13" s="6" t="inlineStr">
        <is>
          <t>FINAL PRICE TARGET &amp; RECOMMENDATION</t>
        </is>
      </c>
      <c r="B13" s="7" t="n"/>
      <c r="C13" s="7" t="n"/>
      <c r="D13" s="7" t="n"/>
      <c r="E13" s="7" t="n"/>
      <c r="F13" s="7" t="n"/>
      <c r="G13" s="7" t="n"/>
    </row>
    <row r="14">
      <c r="A14" s="36" t="inlineStr">
        <is>
          <t>12-month price target</t>
        </is>
      </c>
      <c r="B14" s="38" t="n">
        <v>400</v>
      </c>
    </row>
    <row r="15">
      <c r="A15" s="29" t="inlineStr">
        <is>
          <t>Current stock price</t>
        </is>
      </c>
      <c r="B15" s="15" t="n">
        <v>338.19</v>
      </c>
    </row>
    <row r="16">
      <c r="A16" s="36" t="inlineStr">
        <is>
          <t>Implied upside</t>
        </is>
      </c>
      <c r="B16" s="39" t="n">
        <v>0.1827670835920636</v>
      </c>
    </row>
    <row r="17">
      <c r="A17" s="36" t="inlineStr">
        <is>
          <t>Recommendation</t>
        </is>
      </c>
      <c r="B17" s="52" t="inlineStr">
        <is>
          <t>BUY</t>
        </is>
      </c>
    </row>
    <row r="18">
      <c r="A18" s="29" t="inlineStr">
        <is>
          <t>Notes</t>
        </is>
      </c>
      <c r="B18" s="53" t="inlineStr">
        <is>
          <t>12mo PT $400 ($395-$405). 18% upside. Anchored to ~45x FY27E non-GAAP EPS of $9.10.</t>
        </is>
      </c>
    </row>
  </sheetData>
  <mergeCells count="3">
    <mergeCell ref="B18:G18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2026-05-20T19:32:38Z</dcterms:created>
  <dcterms:modified xmlns:dcterms="http://purl.org/dc/terms/" xmlns:xsi="http://www.w3.org/2001/XMLSchema-instance" xsi:type="dcterms:W3CDTF">2026-05-20T19:42:42Z</dcterms:modified>
</cp:coreProperties>
</file>