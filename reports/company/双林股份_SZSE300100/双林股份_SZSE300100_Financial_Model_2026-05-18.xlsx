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CF Inputs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Comparable Companies" sheetId="10" state="visible" r:id="rId10"/>
    <sheet xmlns:r="http://schemas.openxmlformats.org/officeDocument/2006/relationships" name="Valu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;(#,##0.0);&quot;–&quot;"/>
    <numFmt numFmtId="165" formatCode="0.0%;(0.0%);&quot;–&quot;"/>
    <numFmt numFmtId="166" formatCode="#,##0;(#,##0);&quot;–&quot;"/>
    <numFmt numFmtId="167" formatCode="0.0000"/>
    <numFmt numFmtId="168" formatCode="¥0.00"/>
    <numFmt numFmtId="169" formatCode="0.0&quot;x&quot;"/>
  </numFmts>
  <fonts count="2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10"/>
    </font>
    <font>
      <b val="1"/>
      <sz val="11"/>
    </font>
    <font>
      <b val="1"/>
      <color rgb="001F4E79"/>
    </font>
    <font>
      <b val="1"/>
      <color rgb="00000000"/>
    </font>
    <font>
      <b val="1"/>
      <color rgb="00006100"/>
    </font>
    <font>
      <b val="1"/>
      <color rgb="00C00000"/>
    </font>
    <font>
      <color rgb="00808080"/>
      <sz val="9"/>
    </font>
    <font>
      <b val="1"/>
      <sz val="12"/>
    </font>
    <font>
      <i val="1"/>
      <color rgb="00808080"/>
      <sz val="9"/>
    </font>
    <font>
      <b val="1"/>
      <color rgb="00FFFFFF"/>
      <sz val="10"/>
    </font>
    <font>
      <b val="1"/>
      <color rgb="001F4E79"/>
      <sz val="10"/>
    </font>
    <font>
      <sz val="10"/>
    </font>
    <font>
      <color rgb="001F4E79"/>
      <sz val="10"/>
    </font>
    <font>
      <color rgb="00000000"/>
      <sz val="10"/>
    </font>
    <font>
      <b val="1"/>
      <sz val="10"/>
    </font>
    <font>
      <b val="1"/>
      <color rgb="00000000"/>
      <sz val="10"/>
    </font>
    <font>
      <b val="1"/>
      <i val="1"/>
      <color rgb="00808080"/>
      <sz val="10"/>
    </font>
    <font>
      <color rgb="00006100"/>
      <sz val="10"/>
    </font>
    <font>
      <b val="1"/>
      <color rgb="00FFFFFF"/>
    </font>
    <font>
      <color rgb="001F4E79"/>
    </font>
    <font>
      <color rgb="00000000"/>
    </font>
    <font>
      <i val="1"/>
      <sz val="10"/>
    </font>
    <font>
      <i val="1"/>
      <color rgb="001F4E79"/>
    </font>
    <font>
      <i val="1"/>
      <color rgb="00000000"/>
    </font>
    <font>
      <b val="1"/>
    </font>
    <font>
      <b val="1"/>
      <color rgb="00C00000"/>
      <sz val="11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000000"/>
      </top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2" fillId="3" borderId="0" pivotButton="0" quotePrefix="0" xfId="0"/>
    <xf numFmtId="0" fontId="13" fillId="0" borderId="0" pivotButton="0" quotePrefix="0" xfId="0"/>
    <xf numFmtId="164" fontId="1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6" fillId="4" borderId="2" pivotButton="0" quotePrefix="0" xfId="0"/>
    <xf numFmtId="164" fontId="17" fillId="4" borderId="2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0" fontId="18" fillId="0" borderId="0" pivotButton="0" quotePrefix="0" xfId="0"/>
    <xf numFmtId="165" fontId="14" fillId="0" borderId="0" applyAlignment="1" pivotButton="0" quotePrefix="0" xfId="0">
      <alignment horizontal="right"/>
    </xf>
    <xf numFmtId="166" fontId="14" fillId="0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0" fontId="4" fillId="3" borderId="0" pivotButton="0" quotePrefix="0" xfId="0"/>
    <xf numFmtId="0" fontId="16" fillId="0" borderId="0" pivotButton="0" quotePrefix="0" xfId="0"/>
    <xf numFmtId="164" fontId="12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0" fontId="16" fillId="0" borderId="2" pivotButton="0" quotePrefix="0" xfId="0"/>
    <xf numFmtId="164" fontId="17" fillId="0" borderId="2" applyAlignment="1" pivotButton="0" quotePrefix="0" xfId="0">
      <alignment horizontal="right"/>
    </xf>
    <xf numFmtId="164" fontId="19" fillId="0" borderId="0" applyAlignment="1" pivotButton="0" quotePrefix="0" xfId="0">
      <alignment horizontal="right"/>
    </xf>
    <xf numFmtId="0" fontId="7" fillId="4" borderId="0" pivotButton="0" quotePrefix="0" xfId="0"/>
    <xf numFmtId="0" fontId="20" fillId="2" borderId="0" pivotButton="0" quotePrefix="0" xfId="0"/>
    <xf numFmtId="0" fontId="20" fillId="2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2" fontId="15" fillId="0" borderId="0" applyAlignment="1" pivotButton="0" quotePrefix="0" xfId="0">
      <alignment horizontal="right"/>
    </xf>
    <xf numFmtId="0" fontId="13" fillId="0" borderId="0" applyAlignment="1" pivotButton="0" quotePrefix="0" xfId="0">
      <alignment vertical="top" wrapText="1"/>
    </xf>
    <xf numFmtId="164" fontId="21" fillId="0" borderId="0" applyAlignment="1" pivotButton="0" quotePrefix="0" xfId="0">
      <alignment horizontal="right"/>
    </xf>
    <xf numFmtId="164" fontId="22" fillId="0" borderId="0" applyAlignment="1" pivotButton="0" quotePrefix="0" xfId="0">
      <alignment horizontal="right"/>
    </xf>
    <xf numFmtId="0" fontId="23" fillId="0" borderId="0" pivotButton="0" quotePrefix="0" xfId="0"/>
    <xf numFmtId="165" fontId="24" fillId="0" borderId="0" applyAlignment="1" pivotButton="0" quotePrefix="0" xfId="0">
      <alignment horizontal="right"/>
    </xf>
    <xf numFmtId="165" fontId="25" fillId="0" borderId="0" applyAlignment="1" pivotButton="0" quotePrefix="0" xfId="0">
      <alignment horizontal="right"/>
    </xf>
    <xf numFmtId="164" fontId="26" fillId="0" borderId="2" applyAlignment="1" pivotButton="0" quotePrefix="0" xfId="0">
      <alignment horizontal="right"/>
    </xf>
    <xf numFmtId="0" fontId="11" fillId="2" borderId="0" pivotButton="0" quotePrefix="0" xfId="0"/>
    <xf numFmtId="164" fontId="20" fillId="2" borderId="2" applyAlignment="1" pivotButton="0" quotePrefix="0" xfId="0">
      <alignment horizontal="right"/>
    </xf>
    <xf numFmtId="164" fontId="4" fillId="0" borderId="0" pivotButton="0" quotePrefix="0" xfId="0"/>
    <xf numFmtId="0" fontId="21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164" fontId="0" fillId="0" borderId="0" pivotButton="0" quotePrefix="0" xfId="0"/>
    <xf numFmtId="167" fontId="0" fillId="0" borderId="0" pivotButton="0" quotePrefix="0" xfId="0"/>
    <xf numFmtId="0" fontId="26" fillId="0" borderId="0" pivotButton="0" quotePrefix="0" xfId="0"/>
    <xf numFmtId="164" fontId="26" fillId="0" borderId="0" pivotButton="0" quotePrefix="0" xfId="0"/>
    <xf numFmtId="164" fontId="22" fillId="0" borderId="0" pivotButton="0" quotePrefix="0" xfId="0"/>
    <xf numFmtId="164" fontId="5" fillId="4" borderId="0" pivotButton="0" quotePrefix="0" xfId="0"/>
    <xf numFmtId="168" fontId="7" fillId="4" borderId="0" pivotButton="0" quotePrefix="0" xfId="0"/>
    <xf numFmtId="168" fontId="22" fillId="0" borderId="0" pivotButton="0" quotePrefix="0" xfId="0"/>
    <xf numFmtId="165" fontId="22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165" fontId="20" fillId="2" borderId="0" applyAlignment="1" pivotButton="0" quotePrefix="0" xfId="0">
      <alignment horizontal="center"/>
    </xf>
    <xf numFmtId="168" fontId="20" fillId="2" borderId="0" applyAlignment="1" pivotButton="0" quotePrefix="0" xfId="0">
      <alignment horizontal="right"/>
    </xf>
    <xf numFmtId="0" fontId="20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0" fontId="0" fillId="2" borderId="0" pivotButton="0" quotePrefix="0" xfId="0"/>
    <xf numFmtId="169" fontId="22" fillId="0" borderId="0" applyAlignment="1" pivotButton="0" quotePrefix="0" xfId="0">
      <alignment horizontal="right"/>
    </xf>
    <xf numFmtId="165" fontId="22" fillId="0" borderId="0" applyAlignment="1" pivotButton="0" quotePrefix="0" xfId="0">
      <alignment horizontal="right"/>
    </xf>
    <xf numFmtId="169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7" fillId="4" borderId="0" applyAlignment="1" pivotButton="0" quotePrefix="0" xfId="0">
      <alignment horizontal="right"/>
    </xf>
    <xf numFmtId="169" fontId="7" fillId="4" borderId="0" applyAlignment="1" pivotButton="0" quotePrefix="0" xfId="0">
      <alignment horizontal="right"/>
    </xf>
    <xf numFmtId="165" fontId="7" fillId="4" borderId="0" applyAlignment="1" pivotButton="0" quotePrefix="0" xfId="0">
      <alignment horizontal="right"/>
    </xf>
    <xf numFmtId="0" fontId="27" fillId="0" borderId="0" pivotButton="0" quotePrefix="0" xfId="0"/>
    <xf numFmtId="0" fontId="26" fillId="4" borderId="0" pivotButton="0" quotePrefix="0" xfId="0"/>
    <xf numFmtId="168" fontId="26" fillId="4" borderId="0" applyAlignment="1" pivotButton="0" quotePrefix="0" xfId="0">
      <alignment horizontal="right"/>
    </xf>
    <xf numFmtId="165" fontId="26" fillId="4" borderId="0" applyAlignment="1" pivotButton="0" quotePrefix="0" xfId="0">
      <alignment horizontal="right"/>
    </xf>
    <xf numFmtId="0" fontId="10" fillId="4" borderId="0" pivotButton="0" quotePrefix="0" xfId="0"/>
    <xf numFmtId="168" fontId="0" fillId="0" borderId="0" pivotButton="0" quotePrefix="0" xfId="0"/>
    <xf numFmtId="168" fontId="0" fillId="4" borderId="0" pivotButton="0" quotePrefix="0" xfId="0"/>
    <xf numFmtId="165" fontId="0" fillId="4" borderId="0" pivotButton="0" quotePrefix="0" xfId="0"/>
    <xf numFmtId="0" fontId="28" fillId="4" borderId="0" pivotButton="0" quotePrefix="0" xfId="0"/>
    <xf numFmtId="0" fontId="26" fillId="3" borderId="0" pivotButton="0" quotePrefix="0" xfId="0"/>
    <xf numFmtId="168" fontId="2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双林股份 (Shuanglin Co., SZSE:300100) — Financial Model</t>
        </is>
      </c>
    </row>
    <row r="2">
      <c r="A2" s="2" t="inlineStr">
        <is>
          <t>Equity-Research Initiation Coverage · Task 2 Output</t>
        </is>
      </c>
    </row>
    <row r="3">
      <c r="A3" t="inlineStr">
        <is>
          <t>Build date: 2026-05-18 · Units: CNY mn (millions of RMB)</t>
        </is>
      </c>
    </row>
    <row r="5">
      <c r="A5" s="3" t="inlineStr">
        <is>
          <t>Color Code Legend</t>
        </is>
      </c>
    </row>
    <row r="6">
      <c r="A6" s="4" t="inlineStr">
        <is>
          <t>Blue text</t>
        </is>
      </c>
      <c r="B6" t="inlineStr">
        <is>
          <t>Hardcoded input (historical / assumption)</t>
        </is>
      </c>
    </row>
    <row r="7">
      <c r="A7" s="5" t="inlineStr">
        <is>
          <t>Black text</t>
        </is>
      </c>
      <c r="B7" t="inlineStr">
        <is>
          <t>Formula / calculated</t>
        </is>
      </c>
    </row>
    <row r="8">
      <c r="A8" s="6" t="inlineStr">
        <is>
          <t>Green text</t>
        </is>
      </c>
      <c r="B8" t="inlineStr">
        <is>
          <t>Cross-sheet link</t>
        </is>
      </c>
    </row>
    <row r="9">
      <c r="A9" s="7" t="inlineStr">
        <is>
          <t>Red text</t>
        </is>
      </c>
      <c r="B9" t="inlineStr">
        <is>
          <t>Flag / error (should be resolved)</t>
        </is>
      </c>
    </row>
    <row r="12">
      <c r="A12" s="3" t="inlineStr">
        <is>
          <t>Tabs in this workbook</t>
        </is>
      </c>
    </row>
    <row r="13">
      <c r="A13" s="4" t="inlineStr">
        <is>
          <t>Revenue Model</t>
        </is>
      </c>
      <c r="B13" t="inlineStr">
        <is>
          <t>Revenue by segment (3 product lines + rental + 8 sub-products) and geography (Domestic / Overseas / Thailand / NA), drivers</t>
        </is>
      </c>
    </row>
    <row r="14">
      <c r="A14" s="4" t="inlineStr">
        <is>
          <t>Income Statement</t>
        </is>
      </c>
      <c r="B14" t="inlineStr">
        <is>
          <t>Full P&amp;L: revenue → COGS → opex (selling/G&amp;A/R&amp;D/fin) → other items → EBIT → tax → NI, plus EBITDA &amp; per-share metrics, 2021A–2030E</t>
        </is>
      </c>
    </row>
    <row r="15">
      <c r="A15" s="4" t="inlineStr">
        <is>
          <t>Cash Flow Statement</t>
        </is>
      </c>
      <c r="B15" t="inlineStr">
        <is>
          <t>CFO from indirect method; CFI w/ CapEx detail; CFF w/ debt/dividends; FCF derivation</t>
        </is>
      </c>
    </row>
    <row r="16">
      <c r="A16" s="4" t="inlineStr">
        <is>
          <t>Balance Sheet</t>
        </is>
      </c>
      <c r="B16" t="inlineStr">
        <is>
          <t>Current + non-current assets; current + non-current liab; full equity reconciliation; balance check row</t>
        </is>
      </c>
    </row>
    <row r="17">
      <c r="A17" s="4" t="inlineStr">
        <is>
          <t>Scenarios</t>
        </is>
      </c>
      <c r="B17" t="inlineStr">
        <is>
          <t>Bull / Base / Bear with 2030E revenue, EBITDA, NI, FCF &amp; cumulative FCF outputs and assumption deltas</t>
        </is>
      </c>
    </row>
    <row r="18">
      <c r="A18" s="4" t="inlineStr">
        <is>
          <t>DCF Inputs</t>
        </is>
      </c>
      <c r="B18" t="inlineStr">
        <is>
          <t>Unlevered FCF (NOPAT + D&amp;A – CapEx – ΔNWC) prepared for Task 3 valuation</t>
        </is>
      </c>
    </row>
    <row r="22">
      <c r="A22" s="3" t="inlineStr">
        <is>
          <t>Key Sources</t>
        </is>
      </c>
    </row>
    <row r="23">
      <c r="A23" s="8" t="inlineStr">
        <is>
          <t xml:space="preserve">  • FY2025 年度报告 (filed 2026-03-24) — pp. 14, 21–24, 30, 91–101 (segment mix, customer concentration, IS, CF, BS)</t>
        </is>
      </c>
    </row>
    <row r="24">
      <c r="A24" s="8" t="inlineStr">
        <is>
          <t xml:space="preserve">  • FY2023 年度报告 (filed 2024-04-18) — pp. 81–90 (FY2022/FY2023 IS, CF, BS)</t>
        </is>
      </c>
    </row>
    <row r="25">
      <c r="A25" s="8" t="inlineStr">
        <is>
          <t xml:space="preserve">  • FY2022 年度报告 (filed 2023-04-18) — pp. 78–87 (FY2021 IS, CF; FY2021 yr-end BS as opening balance)</t>
        </is>
      </c>
    </row>
    <row r="26">
      <c r="A26" s="8" t="inlineStr">
        <is>
          <t xml:space="preserve">  • 2026 Q1 报告 (filed 2026-04-28) — Q1 2026: Revenue −10.42%, NI −47.01%, ex-NR −39.11%</t>
        </is>
      </c>
    </row>
    <row r="27">
      <c r="A27" s="8" t="inlineStr">
        <is>
          <t xml:space="preserve">  • Task 1 research doc — reports/company/双林股份_SZSE300100/双林股份_SZSE300100_公司研究_2026-05-17.md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9" t="inlineStr">
        <is>
          <t>Revenue Model — Segment, Geography &amp; Sub-product Build</t>
        </is>
      </c>
    </row>
    <row r="2">
      <c r="A2" s="10" t="inlineStr">
        <is>
          <t>Units: CNY mn · Hist 2021A–2025A (filings) · Proj 2026E–2030E (Base case)</t>
        </is>
      </c>
    </row>
    <row r="3">
      <c r="A3" s="11" t="inlineStr">
        <is>
          <t>项目 / Line item</t>
        </is>
      </c>
      <c r="B3" s="11" t="inlineStr">
        <is>
          <t>2021A</t>
        </is>
      </c>
      <c r="C3" s="11" t="inlineStr">
        <is>
          <t>2022A</t>
        </is>
      </c>
      <c r="D3" s="11" t="inlineStr">
        <is>
          <t>2023A</t>
        </is>
      </c>
      <c r="E3" s="11" t="inlineStr">
        <is>
          <t>2024A</t>
        </is>
      </c>
      <c r="F3" s="11" t="inlineStr">
        <is>
          <t>2025A</t>
        </is>
      </c>
      <c r="G3" s="11" t="inlineStr">
        <is>
          <t>2026E</t>
        </is>
      </c>
      <c r="H3" s="11" t="inlineStr">
        <is>
          <t>2027E</t>
        </is>
      </c>
      <c r="I3" s="11" t="inlineStr">
        <is>
          <t>2028E</t>
        </is>
      </c>
      <c r="J3" s="11" t="inlineStr">
        <is>
          <t>2029E</t>
        </is>
      </c>
      <c r="K3" s="11" t="inlineStr">
        <is>
          <t>2030E</t>
        </is>
      </c>
    </row>
    <row r="4">
      <c r="A4" s="12" t="inlineStr">
        <is>
          <t>A. REVENUE BY PRODUCT SEGMENT (restated FY2025 basis)</t>
        </is>
      </c>
    </row>
    <row r="5">
      <c r="A5" s="13" t="inlineStr">
        <is>
          <t>传动驱动智能 Transmission / Drive / Intelligent</t>
        </is>
      </c>
      <c r="B5" s="14" t="n"/>
      <c r="C5" s="14" t="n"/>
      <c r="D5" s="14" t="n"/>
      <c r="E5" s="14" t="n">
        <v>2847.77</v>
      </c>
      <c r="F5" s="14" t="n">
        <v>3269.96</v>
      </c>
      <c r="G5" s="15" t="n">
        <v>3400.7584</v>
      </c>
      <c r="H5" s="15" t="n">
        <v>4080.91008</v>
      </c>
      <c r="I5" s="15" t="n">
        <v>4978.7102976</v>
      </c>
      <c r="J5" s="15" t="n">
        <v>5874.878151167999</v>
      </c>
      <c r="K5" s="15" t="n">
        <v>6756.109873843198</v>
      </c>
    </row>
    <row r="6">
      <c r="A6" s="13" t="inlineStr">
        <is>
          <t xml:space="preserve">       of which: HDM 座椅水平驱动器 (est)</t>
        </is>
      </c>
      <c r="B6" s="14" t="n"/>
      <c r="C6" s="14" t="n"/>
      <c r="D6" s="14" t="n"/>
      <c r="E6" s="14" t="n"/>
      <c r="F6" s="14" t="n"/>
      <c r="G6" s="15" t="n">
        <v>1292.288192</v>
      </c>
      <c r="H6" s="15" t="n">
        <v>1550.7458304</v>
      </c>
      <c r="I6" s="15" t="n">
        <v>1891.909913088</v>
      </c>
      <c r="J6" s="15" t="n">
        <v>2232.45369744384</v>
      </c>
      <c r="K6" s="15" t="n">
        <v>2567.321752060415</v>
      </c>
    </row>
    <row r="7">
      <c r="A7" s="13" t="inlineStr">
        <is>
          <t xml:space="preserve">       of which: 轮毂轴承 Hubei Bearings</t>
        </is>
      </c>
      <c r="B7" s="14" t="n"/>
      <c r="C7" s="14" t="n"/>
      <c r="D7" s="14" t="n"/>
      <c r="E7" s="14" t="n"/>
      <c r="F7" s="14" t="n"/>
      <c r="G7" s="15" t="n">
        <v>1428.318528</v>
      </c>
      <c r="H7" s="15" t="n">
        <v>1713.9822336</v>
      </c>
      <c r="I7" s="15" t="n">
        <v>2091.058324992</v>
      </c>
      <c r="J7" s="15" t="n">
        <v>2467.448823490559</v>
      </c>
      <c r="K7" s="15" t="n">
        <v>2837.566147014143</v>
      </c>
    </row>
    <row r="8">
      <c r="A8" s="13" t="inlineStr">
        <is>
          <t xml:space="preserve">       of which: NEV E-drive (Shandong)</t>
        </is>
      </c>
      <c r="B8" s="14" t="n"/>
      <c r="C8" s="14" t="n"/>
      <c r="D8" s="14" t="n"/>
      <c r="E8" s="14" t="n"/>
      <c r="F8" s="14" t="n"/>
      <c r="G8" s="15" t="n">
        <v>612.136512</v>
      </c>
      <c r="H8" s="15" t="n">
        <v>734.5638144</v>
      </c>
      <c r="I8" s="15" t="n">
        <v>896.1678535679999</v>
      </c>
      <c r="J8" s="15" t="n">
        <v>1057.47806721024</v>
      </c>
      <c r="K8" s="15" t="n">
        <v>1216.099777291776</v>
      </c>
    </row>
    <row r="9">
      <c r="A9" s="13" t="inlineStr">
        <is>
          <t xml:space="preserve">       of which: Roller-screw / robot / new</t>
        </is>
      </c>
      <c r="B9" s="14" t="n"/>
      <c r="C9" s="14" t="n"/>
      <c r="D9" s="14" t="n"/>
      <c r="E9" s="14" t="n"/>
      <c r="F9" s="14" t="n"/>
      <c r="G9" s="15" t="n">
        <v>68.015168</v>
      </c>
      <c r="H9" s="15" t="n">
        <v>81.61820160000001</v>
      </c>
      <c r="I9" s="15" t="n">
        <v>99.574205952</v>
      </c>
      <c r="J9" s="15" t="n">
        <v>117.49756302336</v>
      </c>
      <c r="K9" s="15" t="n">
        <v>135.122197476864</v>
      </c>
    </row>
    <row r="10">
      <c r="A10" s="13" t="inlineStr">
        <is>
          <t>内外饰件 Auto Interior / Exterior</t>
        </is>
      </c>
      <c r="B10" s="14" t="n"/>
      <c r="C10" s="14" t="n"/>
      <c r="D10" s="14" t="n"/>
      <c r="E10" s="14" t="n">
        <v>1763.46</v>
      </c>
      <c r="F10" s="14" t="n">
        <v>1946.08</v>
      </c>
      <c r="G10" s="15" t="n">
        <v>1848.776</v>
      </c>
      <c r="H10" s="15" t="n">
        <v>1941.2148</v>
      </c>
      <c r="I10" s="15" t="n">
        <v>2038.27554</v>
      </c>
      <c r="J10" s="15" t="n">
        <v>2099.4238062</v>
      </c>
      <c r="K10" s="15" t="n">
        <v>2141.412282324</v>
      </c>
    </row>
    <row r="11">
      <c r="A11" s="13" t="inlineStr">
        <is>
          <t>其他 (磨床+模具+其他) Other</t>
        </is>
      </c>
      <c r="B11" s="14" t="n"/>
      <c r="C11" s="14" t="n"/>
      <c r="D11" s="14" t="n"/>
      <c r="E11" s="14" t="n">
        <v>291.58</v>
      </c>
      <c r="F11" s="14" t="n">
        <v>259.91</v>
      </c>
      <c r="G11" s="15" t="n">
        <v>272.9055</v>
      </c>
      <c r="H11" s="15" t="n">
        <v>313.841325</v>
      </c>
      <c r="I11" s="15" t="n">
        <v>376.60959</v>
      </c>
      <c r="J11" s="15" t="n">
        <v>451.931508</v>
      </c>
      <c r="K11" s="15" t="n">
        <v>519.7212341999999</v>
      </c>
    </row>
    <row r="12">
      <c r="A12" s="13" t="inlineStr">
        <is>
          <t>租金 Rental</t>
        </is>
      </c>
      <c r="B12" s="14" t="n"/>
      <c r="C12" s="14" t="n"/>
      <c r="D12" s="14" t="n"/>
      <c r="E12" s="14" t="n">
        <v>7.69</v>
      </c>
      <c r="F12" s="14" t="n">
        <v>7.75</v>
      </c>
      <c r="G12" s="15" t="n">
        <v>8.137500000000001</v>
      </c>
      <c r="H12" s="15" t="n">
        <v>8.544375000000002</v>
      </c>
      <c r="I12" s="15" t="n">
        <v>8.971593750000002</v>
      </c>
      <c r="J12" s="15" t="n">
        <v>9.420173437500003</v>
      </c>
      <c r="K12" s="15" t="n">
        <v>9.891182109375004</v>
      </c>
    </row>
    <row r="13">
      <c r="A13" s="16" t="inlineStr">
        <is>
          <t>Total Revenue</t>
        </is>
      </c>
      <c r="B13" s="17" t="n">
        <v>3682.3</v>
      </c>
      <c r="C13" s="17" t="n">
        <v>4185.28</v>
      </c>
      <c r="D13" s="17" t="n">
        <v>4138.82</v>
      </c>
      <c r="E13" s="17" t="n">
        <v>4910.5</v>
      </c>
      <c r="F13" s="17" t="n">
        <v>5483.7</v>
      </c>
      <c r="G13" s="17" t="n">
        <v>5530.5774</v>
      </c>
      <c r="H13" s="17" t="n">
        <v>6344.510580000001</v>
      </c>
      <c r="I13" s="17" t="n">
        <v>7402.567021349999</v>
      </c>
      <c r="J13" s="17" t="n">
        <v>8435.653638805499</v>
      </c>
      <c r="K13" s="17" t="n">
        <v>9427.134572476574</v>
      </c>
    </row>
    <row r="14">
      <c r="A14" s="13" t="inlineStr">
        <is>
          <t xml:space="preserve">     Total Revenue Growth %</t>
        </is>
      </c>
      <c r="B14" s="18" t="n"/>
      <c r="C14" s="18" t="n">
        <v>0.1365939765907176</v>
      </c>
      <c r="D14" s="18" t="n">
        <v>-0.01110081045951528</v>
      </c>
      <c r="E14" s="18" t="n">
        <v>0.1864492778134832</v>
      </c>
      <c r="F14" s="18" t="n">
        <v>0.1167294572854087</v>
      </c>
      <c r="G14" s="18" t="n">
        <v>0.008548498276711003</v>
      </c>
      <c r="H14" s="18" t="n">
        <v>0.1471696571862462</v>
      </c>
      <c r="I14" s="18" t="n">
        <v>0.1667672278276817</v>
      </c>
      <c r="J14" s="18" t="n">
        <v>0.139557887753794</v>
      </c>
      <c r="K14" s="18" t="n">
        <v>0.1175345712524383</v>
      </c>
    </row>
    <row r="16">
      <c r="A16" s="19" t="inlineStr">
        <is>
          <t>Revenue Mix (% of total)</t>
        </is>
      </c>
    </row>
    <row r="17">
      <c r="A17" s="13" t="inlineStr">
        <is>
          <t xml:space="preserve">   Transmission / Drive / Intelligent %</t>
        </is>
      </c>
      <c r="B17" s="18" t="n"/>
      <c r="C17" s="18" t="n"/>
      <c r="D17" s="18" t="n"/>
      <c r="E17" s="18" t="n">
        <v>0.5799348335200082</v>
      </c>
      <c r="F17" s="18" t="n">
        <v>0.5963054142276201</v>
      </c>
      <c r="G17" s="18" t="n">
        <v>0.6149011493808947</v>
      </c>
      <c r="H17" s="18" t="n">
        <v>0.6432190518941493</v>
      </c>
      <c r="I17" s="18" t="n">
        <v>0.6725653794475254</v>
      </c>
      <c r="J17" s="18" t="n">
        <v>0.6964342542636555</v>
      </c>
      <c r="K17" s="18" t="n">
        <v>0.7166663233564429</v>
      </c>
    </row>
    <row r="18">
      <c r="A18" s="13" t="inlineStr">
        <is>
          <t xml:space="preserve">   Interior / Exterior %</t>
        </is>
      </c>
      <c r="B18" s="18" t="n"/>
      <c r="C18" s="18" t="n"/>
      <c r="D18" s="18" t="n"/>
      <c r="E18" s="18" t="n">
        <v>0.35912025252011</v>
      </c>
      <c r="F18" s="18" t="n">
        <v>0.3548844758101282</v>
      </c>
      <c r="G18" s="18" t="n">
        <v>0.3342826374692812</v>
      </c>
      <c r="H18" s="18" t="n">
        <v>0.3059676196489217</v>
      </c>
      <c r="I18" s="18" t="n">
        <v>0.2753471240613343</v>
      </c>
      <c r="J18" s="18" t="n">
        <v>0.2488750600833442</v>
      </c>
      <c r="K18" s="18" t="n">
        <v>0.2271541013720181</v>
      </c>
    </row>
    <row r="19">
      <c r="A19" s="13" t="inlineStr">
        <is>
          <t xml:space="preserve">   Other %</t>
        </is>
      </c>
      <c r="B19" s="18" t="n"/>
      <c r="C19" s="18" t="n"/>
      <c r="D19" s="18" t="n"/>
      <c r="E19" s="18" t="n">
        <v>0.05937888198757764</v>
      </c>
      <c r="F19" s="18" t="n">
        <v>0.04739683060707187</v>
      </c>
      <c r="G19" s="18" t="n">
        <v>0.04934484779111852</v>
      </c>
      <c r="H19" s="18" t="n">
        <v>0.04946659337117851</v>
      </c>
      <c r="I19" s="18" t="n">
        <v>0.05087553937894885</v>
      </c>
      <c r="J19" s="18" t="n">
        <v>0.05357397628573025</v>
      </c>
      <c r="K19" s="18" t="n">
        <v>0.0551303506069995</v>
      </c>
    </row>
    <row r="20">
      <c r="A20" s="13" t="inlineStr">
        <is>
          <t xml:space="preserve">   Rental %</t>
        </is>
      </c>
      <c r="B20" s="18" t="n"/>
      <c r="C20" s="18" t="n"/>
      <c r="D20" s="18" t="n"/>
      <c r="E20" s="18" t="n">
        <v>0.001566031972304246</v>
      </c>
      <c r="F20" s="18" t="n">
        <v>0.001413279355179897</v>
      </c>
      <c r="G20" s="18" t="n">
        <v>0.001471365358705585</v>
      </c>
      <c r="H20" s="18" t="n">
        <v>0.001346735085750302</v>
      </c>
      <c r="I20" s="18" t="n">
        <v>0.001211957112191584</v>
      </c>
      <c r="J20" s="18" t="n">
        <v>0.001116709367270076</v>
      </c>
      <c r="K20" s="18" t="n">
        <v>0.001049224664539452</v>
      </c>
    </row>
    <row r="22">
      <c r="A22" s="12" t="inlineStr">
        <is>
          <t>B. REVENUE BY GEOGRAPHY</t>
        </is>
      </c>
    </row>
    <row r="23">
      <c r="A23" s="13" t="inlineStr">
        <is>
          <t>国内 Domestic (China)</t>
        </is>
      </c>
      <c r="B23" s="14" t="n"/>
      <c r="C23" s="14" t="n"/>
      <c r="D23" s="14" t="n"/>
      <c r="E23" s="14" t="n">
        <v>4431.96</v>
      </c>
      <c r="F23" s="14" t="n">
        <v>4997.14</v>
      </c>
      <c r="G23" s="15" t="n">
        <v>4995.3614</v>
      </c>
      <c r="H23" s="15" t="n">
        <v>5595.208180000001</v>
      </c>
      <c r="I23" s="15" t="n">
        <v>6316.078541349999</v>
      </c>
      <c r="J23" s="15" t="n">
        <v>6968.894190805499</v>
      </c>
      <c r="K23" s="15" t="n">
        <v>7593.685262476574</v>
      </c>
    </row>
    <row r="24">
      <c r="A24" s="13" t="inlineStr">
        <is>
          <t xml:space="preserve">     of which: Thailand-bound exports to int'l OEMs</t>
        </is>
      </c>
      <c r="B24" s="14" t="n"/>
      <c r="C24" s="14" t="n"/>
      <c r="D24" s="14" t="n"/>
      <c r="E24" s="14" t="n"/>
      <c r="F24" s="14" t="n"/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</row>
    <row r="25">
      <c r="A25" s="13" t="inlineStr">
        <is>
          <t>国外 Overseas (Thailand + North America)</t>
        </is>
      </c>
      <c r="B25" s="14" t="n"/>
      <c r="C25" s="14" t="n"/>
      <c r="D25" s="14" t="n"/>
      <c r="E25" s="14" t="n">
        <v>478.53</v>
      </c>
      <c r="F25" s="14" t="n">
        <v>486.56</v>
      </c>
      <c r="G25" s="15" t="n">
        <v>535.216</v>
      </c>
      <c r="H25" s="15" t="n">
        <v>749.3023999999999</v>
      </c>
      <c r="I25" s="15" t="n">
        <v>1086.48848</v>
      </c>
      <c r="J25" s="15" t="n">
        <v>1466.759448</v>
      </c>
      <c r="K25" s="15" t="n">
        <v>1833.44931</v>
      </c>
    </row>
    <row r="26">
      <c r="A26" s="13" t="inlineStr">
        <is>
          <t xml:space="preserve">       of which: 泰国新火炬 Thailand (bearings + e-drive)</t>
        </is>
      </c>
      <c r="B26" s="14" t="n"/>
      <c r="C26" s="14" t="n"/>
      <c r="D26" s="14" t="n"/>
      <c r="E26" s="14" t="n"/>
      <c r="F26" s="14" t="n"/>
      <c r="G26" s="15" t="n">
        <v>294.3688</v>
      </c>
      <c r="H26" s="15" t="n">
        <v>412.11632</v>
      </c>
      <c r="I26" s="15" t="n">
        <v>597.5686639999999</v>
      </c>
      <c r="J26" s="15" t="n">
        <v>806.7176963999999</v>
      </c>
      <c r="K26" s="15" t="n">
        <v>1008.3971205</v>
      </c>
    </row>
    <row r="27">
      <c r="A27" s="13" t="inlineStr">
        <is>
          <t xml:space="preserve">       of which: North America (incl. Tesla HDM)</t>
        </is>
      </c>
      <c r="B27" s="14" t="n"/>
      <c r="C27" s="14" t="n"/>
      <c r="D27" s="14" t="n"/>
      <c r="E27" s="14" t="n"/>
      <c r="F27" s="14" t="n"/>
      <c r="G27" s="15" t="n">
        <v>214.0864</v>
      </c>
      <c r="H27" s="15" t="n">
        <v>299.72096</v>
      </c>
      <c r="I27" s="15" t="n">
        <v>434.5953919999999</v>
      </c>
      <c r="J27" s="15" t="n">
        <v>586.7037792</v>
      </c>
      <c r="K27" s="15" t="n">
        <v>733.3797239999999</v>
      </c>
    </row>
    <row r="28">
      <c r="A28" s="13" t="inlineStr">
        <is>
          <t xml:space="preserve">       of which: Europe &amp; RoW</t>
        </is>
      </c>
      <c r="B28" s="14" t="n"/>
      <c r="C28" s="14" t="n"/>
      <c r="D28" s="14" t="n"/>
      <c r="E28" s="14" t="n"/>
      <c r="F28" s="14" t="n"/>
      <c r="G28" s="15" t="n">
        <v>26.7608</v>
      </c>
      <c r="H28" s="15" t="n">
        <v>37.46512</v>
      </c>
      <c r="I28" s="15" t="n">
        <v>54.32442399999999</v>
      </c>
      <c r="J28" s="15" t="n">
        <v>73.3379724</v>
      </c>
      <c r="K28" s="15" t="n">
        <v>91.67246549999999</v>
      </c>
    </row>
    <row r="29">
      <c r="A29" s="13" t="inlineStr">
        <is>
          <t xml:space="preserve">     Overseas %</t>
        </is>
      </c>
      <c r="B29" s="18" t="n"/>
      <c r="C29" s="18" t="n"/>
      <c r="D29" s="18" t="n"/>
      <c r="E29" s="18" t="n">
        <v>0.0974503614703187</v>
      </c>
      <c r="F29" s="18" t="n">
        <v>0.08872841329759104</v>
      </c>
      <c r="G29" s="18" t="n">
        <v>0.09677398240552605</v>
      </c>
      <c r="H29" s="18" t="n">
        <v>0.1181024746592825</v>
      </c>
      <c r="I29" s="18" t="n">
        <v>0.1467718531782854</v>
      </c>
      <c r="J29" s="18" t="n">
        <v>0.173876205781215</v>
      </c>
      <c r="K29" s="18" t="n">
        <v>0.1944863835245262</v>
      </c>
    </row>
    <row r="31">
      <c r="A31" s="12" t="inlineStr">
        <is>
          <t>C. SEGMENT GROWTH ASSUMPTIONS (Base case)</t>
        </is>
      </c>
    </row>
    <row r="32">
      <c r="A32" s="13" t="inlineStr">
        <is>
          <t xml:space="preserve">   Transmission / Drive / Intelligent growth %</t>
        </is>
      </c>
      <c r="B32" s="20" t="n"/>
      <c r="C32" s="20" t="n"/>
      <c r="D32" s="20" t="n"/>
      <c r="E32" s="20" t="n"/>
      <c r="F32" s="20" t="n"/>
      <c r="G32" s="18" t="n">
        <v>0.04</v>
      </c>
      <c r="H32" s="18" t="n">
        <v>0.2</v>
      </c>
      <c r="I32" s="18" t="n">
        <v>0.22</v>
      </c>
      <c r="J32" s="18" t="n">
        <v>0.18</v>
      </c>
      <c r="K32" s="18" t="n">
        <v>0.15</v>
      </c>
    </row>
    <row r="33">
      <c r="A33" s="13" t="inlineStr">
        <is>
          <t xml:space="preserve">   Interior / Exterior growth %</t>
        </is>
      </c>
      <c r="B33" s="20" t="n"/>
      <c r="C33" s="20" t="n"/>
      <c r="D33" s="20" t="n"/>
      <c r="E33" s="20" t="n"/>
      <c r="F33" s="20" t="n"/>
      <c r="G33" s="18" t="n">
        <v>-0.05</v>
      </c>
      <c r="H33" s="18" t="n">
        <v>0.05</v>
      </c>
      <c r="I33" s="18" t="n">
        <v>0.05</v>
      </c>
      <c r="J33" s="18" t="n">
        <v>0.03</v>
      </c>
      <c r="K33" s="18" t="n">
        <v>0.02</v>
      </c>
    </row>
    <row r="34">
      <c r="A34" s="13" t="inlineStr">
        <is>
          <t xml:space="preserve">   Other (磨床+模具) growth %</t>
        </is>
      </c>
      <c r="B34" s="20" t="n"/>
      <c r="C34" s="20" t="n"/>
      <c r="D34" s="20" t="n"/>
      <c r="E34" s="20" t="n"/>
      <c r="F34" s="20" t="n"/>
      <c r="G34" s="18" t="n">
        <v>0.05</v>
      </c>
      <c r="H34" s="18" t="n">
        <v>0.15</v>
      </c>
      <c r="I34" s="18" t="n">
        <v>0.2</v>
      </c>
      <c r="J34" s="18" t="n">
        <v>0.2</v>
      </c>
      <c r="K34" s="18" t="n">
        <v>0.15</v>
      </c>
    </row>
    <row r="35">
      <c r="A35" s="13" t="inlineStr">
        <is>
          <t xml:space="preserve">   Rental growth %</t>
        </is>
      </c>
      <c r="B35" s="20" t="n"/>
      <c r="C35" s="20" t="n"/>
      <c r="D35" s="20" t="n"/>
      <c r="E35" s="20" t="n"/>
      <c r="F35" s="20" t="n"/>
      <c r="G35" s="18" t="n">
        <v>0.05</v>
      </c>
      <c r="H35" s="18" t="n">
        <v>0.05</v>
      </c>
      <c r="I35" s="18" t="n">
        <v>0.05</v>
      </c>
      <c r="J35" s="18" t="n">
        <v>0.05</v>
      </c>
      <c r="K35" s="18" t="n">
        <v>0.05</v>
      </c>
    </row>
    <row r="36">
      <c r="A36" s="13" t="inlineStr">
        <is>
          <t xml:space="preserve">   Overseas growth %</t>
        </is>
      </c>
      <c r="B36" s="20" t="n"/>
      <c r="C36" s="20" t="n"/>
      <c r="D36" s="20" t="n"/>
      <c r="E36" s="20" t="n"/>
      <c r="F36" s="20" t="n"/>
      <c r="G36" s="18" t="n">
        <v>0.1</v>
      </c>
      <c r="H36" s="18" t="n">
        <v>0.4</v>
      </c>
      <c r="I36" s="18" t="n">
        <v>0.45</v>
      </c>
      <c r="J36" s="18" t="n">
        <v>0.35</v>
      </c>
      <c r="K36" s="18" t="n">
        <v>0.25</v>
      </c>
    </row>
    <row r="38">
      <c r="A38" s="12" t="inlineStr">
        <is>
          <t>D. KEY OPERATING DRIVERS</t>
        </is>
      </c>
    </row>
    <row r="39">
      <c r="A39" s="13" t="inlineStr">
        <is>
          <t xml:space="preserve">   HDM units shipped (mn)</t>
        </is>
      </c>
      <c r="B39" s="14" t="n"/>
      <c r="C39" s="14" t="n"/>
      <c r="D39" s="14" t="n"/>
      <c r="E39" s="14" t="n">
        <v>25.5</v>
      </c>
      <c r="F39" s="14" t="n">
        <v>31</v>
      </c>
      <c r="G39" s="15" t="n">
        <v>32.5</v>
      </c>
      <c r="H39" s="15" t="n">
        <v>35</v>
      </c>
      <c r="I39" s="15" t="n">
        <v>38</v>
      </c>
      <c r="J39" s="15" t="n">
        <v>41</v>
      </c>
      <c r="K39" s="15" t="n">
        <v>44</v>
      </c>
    </row>
    <row r="40">
      <c r="A40" s="13" t="inlineStr">
        <is>
          <t xml:space="preserve">     HDM ASP (¥/unit)</t>
        </is>
      </c>
      <c r="B40" s="21" t="n"/>
      <c r="C40" s="21" t="n"/>
      <c r="D40" s="21" t="n"/>
      <c r="E40" s="21" t="n">
        <v>42</v>
      </c>
      <c r="F40" s="21" t="n">
        <v>41</v>
      </c>
      <c r="G40" s="22" t="n">
        <v>41</v>
      </c>
      <c r="H40" s="22" t="n">
        <v>42</v>
      </c>
      <c r="I40" s="22" t="n">
        <v>43</v>
      </c>
      <c r="J40" s="22" t="n">
        <v>44</v>
      </c>
      <c r="K40" s="22" t="n">
        <v>45</v>
      </c>
    </row>
    <row r="41">
      <c r="A41" s="13" t="inlineStr">
        <is>
          <t xml:space="preserve">   Wheel-bearing units shipped (mn)</t>
        </is>
      </c>
      <c r="B41" s="21" t="n"/>
      <c r="C41" s="21" t="n"/>
      <c r="D41" s="21" t="n"/>
      <c r="E41" s="21" t="n">
        <v>17</v>
      </c>
      <c r="F41" s="21" t="n">
        <v>18</v>
      </c>
      <c r="G41" s="22" t="n">
        <v>19</v>
      </c>
      <c r="H41" s="22" t="n">
        <v>21</v>
      </c>
      <c r="I41" s="22" t="n">
        <v>23</v>
      </c>
      <c r="J41" s="22" t="n">
        <v>25</v>
      </c>
      <c r="K41" s="22" t="n">
        <v>26</v>
      </c>
    </row>
    <row r="42">
      <c r="A42" s="13" t="inlineStr">
        <is>
          <t xml:space="preserve">   NEV e-drive units (k)</t>
        </is>
      </c>
      <c r="B42" s="21" t="n"/>
      <c r="C42" s="21" t="n"/>
      <c r="D42" s="21" t="n"/>
      <c r="E42" s="21" t="n">
        <v>110</v>
      </c>
      <c r="F42" s="21" t="n">
        <v>145</v>
      </c>
      <c r="G42" s="22" t="n">
        <v>170</v>
      </c>
      <c r="H42" s="22" t="n">
        <v>230</v>
      </c>
      <c r="I42" s="22" t="n">
        <v>310</v>
      </c>
      <c r="J42" s="22" t="n">
        <v>380</v>
      </c>
      <c r="K42" s="22" t="n">
        <v>440</v>
      </c>
    </row>
    <row r="43">
      <c r="A43" s="13" t="inlineStr">
        <is>
          <t xml:space="preserve">   Roller-screw output (sets, planned)</t>
        </is>
      </c>
      <c r="B43" s="21" t="n"/>
      <c r="C43" s="21" t="n"/>
      <c r="D43" s="21" t="n"/>
      <c r="E43" s="21" t="n"/>
      <c r="F43" s="21" t="n">
        <v>1500</v>
      </c>
      <c r="G43" s="22" t="n">
        <v>30000</v>
      </c>
      <c r="H43" s="22" t="n">
        <v>80000</v>
      </c>
      <c r="I43" s="22" t="n">
        <v>120000</v>
      </c>
      <c r="J43" s="22" t="n">
        <v>160000</v>
      </c>
      <c r="K43" s="22" t="n">
        <v>200000</v>
      </c>
    </row>
    <row r="44">
      <c r="A44" s="13" t="inlineStr">
        <is>
          <t xml:space="preserve">   Smart-corner-module mining trucks (units)</t>
        </is>
      </c>
      <c r="B44" s="21" t="n"/>
      <c r="C44" s="21" t="n"/>
      <c r="D44" s="21" t="n"/>
      <c r="E44" s="21" t="n"/>
      <c r="F44" s="21" t="n"/>
      <c r="G44" s="22" t="n">
        <v>100</v>
      </c>
      <c r="H44" s="22" t="n">
        <v>350</v>
      </c>
      <c r="I44" s="22" t="n">
        <v>800</v>
      </c>
      <c r="J44" s="22" t="n">
        <v>1500</v>
      </c>
      <c r="K44" s="22" t="n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9" t="inlineStr">
        <is>
          <t>Income Statement (Consolidated)</t>
        </is>
      </c>
    </row>
    <row r="2">
      <c r="A2" s="10" t="inlineStr">
        <is>
          <t>Units: CNY mn · Hist FY2021A–FY2025A (filings) · Proj FY2026E–FY2030E</t>
        </is>
      </c>
    </row>
    <row r="3">
      <c r="A3" s="11" t="inlineStr">
        <is>
          <t>项目 / Line item</t>
        </is>
      </c>
      <c r="B3" s="11" t="inlineStr">
        <is>
          <t>2021A</t>
        </is>
      </c>
      <c r="C3" s="11" t="inlineStr">
        <is>
          <t>2022A</t>
        </is>
      </c>
      <c r="D3" s="11" t="inlineStr">
        <is>
          <t>2023A</t>
        </is>
      </c>
      <c r="E3" s="11" t="inlineStr">
        <is>
          <t>2024A</t>
        </is>
      </c>
      <c r="F3" s="11" t="inlineStr">
        <is>
          <t>2025A</t>
        </is>
      </c>
      <c r="G3" s="11" t="inlineStr">
        <is>
          <t>2026E</t>
        </is>
      </c>
      <c r="H3" s="11" t="inlineStr">
        <is>
          <t>2027E</t>
        </is>
      </c>
      <c r="I3" s="11" t="inlineStr">
        <is>
          <t>2028E</t>
        </is>
      </c>
      <c r="J3" s="11" t="inlineStr">
        <is>
          <t>2029E</t>
        </is>
      </c>
      <c r="K3" s="11" t="inlineStr">
        <is>
          <t>2030E</t>
        </is>
      </c>
    </row>
    <row r="4">
      <c r="A4" s="23" t="inlineStr">
        <is>
          <t>REVENUE</t>
        </is>
      </c>
    </row>
    <row r="5">
      <c r="A5" s="24" t="inlineStr">
        <is>
          <t>营业总收入 Total Revenue</t>
        </is>
      </c>
      <c r="B5" s="25" t="n">
        <v>3682.3</v>
      </c>
      <c r="C5" s="25" t="n">
        <v>4185.28</v>
      </c>
      <c r="D5" s="25" t="n">
        <v>4138.82</v>
      </c>
      <c r="E5" s="25" t="n">
        <v>4910.5</v>
      </c>
      <c r="F5" s="25" t="n">
        <v>5483.7</v>
      </c>
      <c r="G5" s="26" t="n">
        <v>5530.5774</v>
      </c>
      <c r="H5" s="26" t="n">
        <v>6344.510580000001</v>
      </c>
      <c r="I5" s="26" t="n">
        <v>7402.567021349999</v>
      </c>
      <c r="J5" s="26" t="n">
        <v>8435.653638805499</v>
      </c>
      <c r="K5" s="26" t="n">
        <v>9427.134572476574</v>
      </c>
    </row>
    <row r="6">
      <c r="A6" s="13" t="inlineStr">
        <is>
          <t xml:space="preserve">     YoY Growth %</t>
        </is>
      </c>
      <c r="B6" s="18" t="n"/>
      <c r="C6" s="18" t="n">
        <v>0.1365939765907176</v>
      </c>
      <c r="D6" s="18" t="n">
        <v>-0.01110081045951528</v>
      </c>
      <c r="E6" s="18" t="n">
        <v>0.1864492778134832</v>
      </c>
      <c r="F6" s="18" t="n">
        <v>0.1167294572854087</v>
      </c>
      <c r="G6" s="18" t="n">
        <v>0.008548498276711003</v>
      </c>
      <c r="H6" s="18" t="n">
        <v>0.1471696571862462</v>
      </c>
      <c r="I6" s="18" t="n">
        <v>0.1667672278276817</v>
      </c>
      <c r="J6" s="18" t="n">
        <v>0.139557887753794</v>
      </c>
      <c r="K6" s="18" t="n">
        <v>0.1175345712524383</v>
      </c>
    </row>
    <row r="7">
      <c r="A7" s="23" t="inlineStr">
        <is>
          <t>COST &amp; GROSS PROFIT</t>
        </is>
      </c>
    </row>
    <row r="8">
      <c r="A8" s="13" t="inlineStr">
        <is>
          <t>营业成本 COGS</t>
        </is>
      </c>
      <c r="B8" s="14" t="n">
        <v>2999.42</v>
      </c>
      <c r="C8" s="14" t="n">
        <v>3471.81</v>
      </c>
      <c r="D8" s="14" t="n">
        <v>3356.58</v>
      </c>
      <c r="E8" s="14" t="n">
        <v>4002.47</v>
      </c>
      <c r="F8" s="14" t="n">
        <v>4335.36</v>
      </c>
      <c r="G8" s="15" t="n">
        <v>4396.809033</v>
      </c>
      <c r="H8" s="15" t="n">
        <v>4948.718252400001</v>
      </c>
      <c r="I8" s="15" t="n">
        <v>5662.963771332749</v>
      </c>
      <c r="J8" s="15" t="n">
        <v>6411.09676549218</v>
      </c>
      <c r="K8" s="15" t="n">
        <v>7164.622275082196</v>
      </c>
    </row>
    <row r="9">
      <c r="A9" s="27" t="inlineStr">
        <is>
          <t>毛利 Gross profit</t>
        </is>
      </c>
      <c r="B9" s="28" t="n">
        <v>682.8800000000001</v>
      </c>
      <c r="C9" s="28" t="n">
        <v>713.4699999999998</v>
      </c>
      <c r="D9" s="28" t="n">
        <v>782.2399999999998</v>
      </c>
      <c r="E9" s="28" t="n">
        <v>908.0300000000002</v>
      </c>
      <c r="F9" s="28" t="n">
        <v>1148.34</v>
      </c>
      <c r="G9" s="28" t="n">
        <v>1133.768367</v>
      </c>
      <c r="H9" s="28" t="n">
        <v>1395.7923276</v>
      </c>
      <c r="I9" s="28" t="n">
        <v>1739.60325001725</v>
      </c>
      <c r="J9" s="28" t="n">
        <v>2024.55687331332</v>
      </c>
      <c r="K9" s="28" t="n">
        <v>2262.512297394378</v>
      </c>
    </row>
    <row r="10">
      <c r="A10" s="13" t="inlineStr">
        <is>
          <t xml:space="preserve">     Gross margin %</t>
        </is>
      </c>
      <c r="B10" s="18" t="n">
        <v>0.1854493115715721</v>
      </c>
      <c r="C10" s="18" t="n">
        <v>0.1704712707393531</v>
      </c>
      <c r="D10" s="18" t="n">
        <v>0.1890007296765744</v>
      </c>
      <c r="E10" s="18" t="n">
        <v>0.1849159963343855</v>
      </c>
      <c r="F10" s="18" t="n">
        <v>0.209409705126101</v>
      </c>
      <c r="G10" s="18" t="n">
        <v>0.2049999999999999</v>
      </c>
      <c r="H10" s="18" t="n">
        <v>0.22</v>
      </c>
      <c r="I10" s="18" t="n">
        <v>0.235</v>
      </c>
      <c r="J10" s="18" t="n">
        <v>0.24</v>
      </c>
      <c r="K10" s="18" t="n">
        <v>0.24</v>
      </c>
    </row>
    <row r="11">
      <c r="A11" s="23" t="inlineStr">
        <is>
          <t>OPERATING EXPENSES</t>
        </is>
      </c>
    </row>
    <row r="12">
      <c r="A12" s="13" t="inlineStr">
        <is>
          <t>税金及附加 Taxes &amp; surcharges</t>
        </is>
      </c>
      <c r="B12" s="14" t="n">
        <v>30.52</v>
      </c>
      <c r="C12" s="14" t="n">
        <v>34.86</v>
      </c>
      <c r="D12" s="14" t="n">
        <v>37.97</v>
      </c>
      <c r="E12" s="14" t="n">
        <v>39.81</v>
      </c>
      <c r="F12" s="14" t="n">
        <v>42.55</v>
      </c>
      <c r="G12" s="15" t="n">
        <v>43.13850372</v>
      </c>
      <c r="H12" s="15" t="n">
        <v>49.487182524</v>
      </c>
      <c r="I12" s="15" t="n">
        <v>57.74002276652999</v>
      </c>
      <c r="J12" s="15" t="n">
        <v>65.79809838268289</v>
      </c>
      <c r="K12" s="15" t="n">
        <v>73.53164966531727</v>
      </c>
    </row>
    <row r="13">
      <c r="A13" s="13" t="inlineStr">
        <is>
          <t>销售费用 Selling expense</t>
        </is>
      </c>
      <c r="B13" s="14" t="n">
        <v>57.52</v>
      </c>
      <c r="C13" s="14" t="n">
        <v>48.3</v>
      </c>
      <c r="D13" s="14" t="n">
        <v>91.81999999999999</v>
      </c>
      <c r="E13" s="14" t="n">
        <v>32.79</v>
      </c>
      <c r="F13" s="14" t="n">
        <v>43.04</v>
      </c>
      <c r="G13" s="15" t="n">
        <v>41.4793305</v>
      </c>
      <c r="H13" s="15" t="n">
        <v>47.58382935000001</v>
      </c>
      <c r="I13" s="15" t="n">
        <v>55.51925266012499</v>
      </c>
      <c r="J13" s="15" t="n">
        <v>63.26740229104124</v>
      </c>
      <c r="K13" s="15" t="n">
        <v>70.7035092935743</v>
      </c>
    </row>
    <row r="14">
      <c r="A14" s="13" t="inlineStr">
        <is>
          <t xml:space="preserve">     Selling % of revenue</t>
        </is>
      </c>
      <c r="B14" s="18" t="n">
        <v>0.01562067186269451</v>
      </c>
      <c r="C14" s="18" t="n">
        <v>0.01154044651731784</v>
      </c>
      <c r="D14" s="18" t="n">
        <v>0.02218506724138764</v>
      </c>
      <c r="E14" s="18" t="n">
        <v>0.006677527746665309</v>
      </c>
      <c r="F14" s="18" t="n">
        <v>0.007848715283476485</v>
      </c>
      <c r="G14" s="18" t="n">
        <v>0.007499999999999999</v>
      </c>
      <c r="H14" s="18" t="n">
        <v>0.007500000000000001</v>
      </c>
      <c r="I14" s="18" t="n">
        <v>0.0075</v>
      </c>
      <c r="J14" s="18" t="n">
        <v>0.0075</v>
      </c>
      <c r="K14" s="18" t="n">
        <v>0.007499999999999999</v>
      </c>
    </row>
    <row r="15">
      <c r="A15" s="13" t="inlineStr">
        <is>
          <t>管理费用 G&amp;A expense</t>
        </is>
      </c>
      <c r="B15" s="14" t="n">
        <v>237.72</v>
      </c>
      <c r="C15" s="14" t="n">
        <v>264.61</v>
      </c>
      <c r="D15" s="14" t="n">
        <v>276.71</v>
      </c>
      <c r="E15" s="14" t="n">
        <v>295.5</v>
      </c>
      <c r="F15" s="14" t="n">
        <v>347.2</v>
      </c>
      <c r="G15" s="15" t="n">
        <v>373.3139745</v>
      </c>
      <c r="H15" s="15" t="n">
        <v>415.5654429900001</v>
      </c>
      <c r="I15" s="15" t="n">
        <v>462.6604388343749</v>
      </c>
      <c r="J15" s="15" t="n">
        <v>510.3570451477327</v>
      </c>
      <c r="K15" s="15" t="n">
        <v>560.9145070623562</v>
      </c>
    </row>
    <row r="16">
      <c r="A16" s="13" t="inlineStr">
        <is>
          <t xml:space="preserve">     G&amp;A % of revenue</t>
        </is>
      </c>
      <c r="B16" s="18" t="n">
        <v>0.06455747766341688</v>
      </c>
      <c r="C16" s="18" t="n">
        <v>0.06322396589953361</v>
      </c>
      <c r="D16" s="18" t="n">
        <v>0.06685722017386599</v>
      </c>
      <c r="E16" s="18" t="n">
        <v>0.06017717136747786</v>
      </c>
      <c r="F16" s="18" t="n">
        <v>0.06331491511205938</v>
      </c>
      <c r="G16" s="18" t="n">
        <v>0.0675</v>
      </c>
      <c r="H16" s="18" t="n">
        <v>0.0655</v>
      </c>
      <c r="I16" s="18" t="n">
        <v>0.0625</v>
      </c>
      <c r="J16" s="18" t="n">
        <v>0.06050000000000001</v>
      </c>
      <c r="K16" s="18" t="n">
        <v>0.0595</v>
      </c>
    </row>
    <row r="17">
      <c r="A17" s="13" t="inlineStr">
        <is>
          <t>研发费用 R&amp;D expense</t>
        </is>
      </c>
      <c r="B17" s="14" t="n">
        <v>164.64</v>
      </c>
      <c r="C17" s="14" t="n">
        <v>185.28</v>
      </c>
      <c r="D17" s="14" t="n">
        <v>175.05</v>
      </c>
      <c r="E17" s="14" t="n">
        <v>168.53</v>
      </c>
      <c r="F17" s="14" t="n">
        <v>220.28</v>
      </c>
      <c r="G17" s="15" t="n">
        <v>248.875983</v>
      </c>
      <c r="H17" s="15" t="n">
        <v>317.2255290000001</v>
      </c>
      <c r="I17" s="15" t="n">
        <v>370.1283510675</v>
      </c>
      <c r="J17" s="15" t="n">
        <v>404.9113746626639</v>
      </c>
      <c r="K17" s="15" t="n">
        <v>424.2210557614458</v>
      </c>
    </row>
    <row r="18">
      <c r="A18" s="13" t="inlineStr">
        <is>
          <t xml:space="preserve">     R&amp;D % of revenue</t>
        </is>
      </c>
      <c r="B18" s="18" t="n">
        <v>0.04471118594356787</v>
      </c>
      <c r="C18" s="18" t="n">
        <v>0.04426943955959936</v>
      </c>
      <c r="D18" s="18" t="n">
        <v>0.04229466369641589</v>
      </c>
      <c r="E18" s="18" t="n">
        <v>0.03432033397820996</v>
      </c>
      <c r="F18" s="18" t="n">
        <v>0.04016995823987454</v>
      </c>
      <c r="G18" s="18" t="n">
        <v>0.045</v>
      </c>
      <c r="H18" s="18" t="n">
        <v>0.05</v>
      </c>
      <c r="I18" s="18" t="n">
        <v>0.05</v>
      </c>
      <c r="J18" s="18" t="n">
        <v>0.048</v>
      </c>
      <c r="K18" s="18" t="n">
        <v>0.045</v>
      </c>
    </row>
    <row r="19">
      <c r="A19" s="13" t="inlineStr">
        <is>
          <t>财务费用 Financial expense (net)</t>
        </is>
      </c>
      <c r="B19" s="14" t="n">
        <v>83.54000000000001</v>
      </c>
      <c r="C19" s="14" t="n">
        <v>41.06</v>
      </c>
      <c r="D19" s="14" t="n">
        <v>37.37</v>
      </c>
      <c r="E19" s="14" t="n">
        <v>20.05</v>
      </c>
      <c r="F19" s="14" t="n">
        <v>16.1</v>
      </c>
      <c r="G19" s="15" t="n">
        <v>16.5917322</v>
      </c>
      <c r="H19" s="15" t="n">
        <v>19.03353174</v>
      </c>
      <c r="I19" s="15" t="n">
        <v>22.20770106405</v>
      </c>
      <c r="J19" s="15" t="n">
        <v>16.871307277611</v>
      </c>
      <c r="K19" s="15" t="n">
        <v>18.85426914495315</v>
      </c>
    </row>
    <row r="20">
      <c r="A20" s="13" t="inlineStr">
        <is>
          <t xml:space="preserve">       of which: 利息费用 Interest expense</t>
        </is>
      </c>
      <c r="B20" s="14" t="n">
        <v>78.73999999999999</v>
      </c>
      <c r="C20" s="14" t="n">
        <v>61.1</v>
      </c>
      <c r="D20" s="14" t="n">
        <v>46.82</v>
      </c>
      <c r="E20" s="14" t="n">
        <v>31.74</v>
      </c>
      <c r="F20" s="14" t="n">
        <v>20.34</v>
      </c>
      <c r="G20" s="15" t="n">
        <v>19.3570209</v>
      </c>
      <c r="H20" s="15" t="n">
        <v>22.20578703</v>
      </c>
      <c r="I20" s="15" t="n">
        <v>25.908984574725</v>
      </c>
      <c r="J20" s="15" t="n">
        <v>29.52478773581925</v>
      </c>
      <c r="K20" s="15" t="n">
        <v>32.99497100366801</v>
      </c>
    </row>
    <row r="21">
      <c r="A21" s="13" t="inlineStr">
        <is>
          <t xml:space="preserve">       of which: 利息收入 Interest income</t>
        </is>
      </c>
      <c r="B21" s="14" t="n">
        <v>3.12</v>
      </c>
      <c r="C21" s="14" t="n">
        <v>3.65</v>
      </c>
      <c r="D21" s="14" t="n">
        <v>6.92</v>
      </c>
      <c r="E21" s="14" t="n">
        <v>9.17</v>
      </c>
      <c r="F21" s="14" t="n">
        <v>7.66</v>
      </c>
      <c r="G21" s="15" t="n">
        <v>8.2958661</v>
      </c>
      <c r="H21" s="15" t="n">
        <v>9.516765870000002</v>
      </c>
      <c r="I21" s="15" t="n">
        <v>11.103850532025</v>
      </c>
      <c r="J21" s="15" t="n">
        <v>12.65348045820825</v>
      </c>
      <c r="K21" s="15" t="n">
        <v>14.14070185871486</v>
      </c>
    </row>
    <row r="22">
      <c r="A22" s="23" t="inlineStr">
        <is>
          <t>OTHER OPERATING ITEMS</t>
        </is>
      </c>
    </row>
    <row r="23">
      <c r="A23" s="13" t="inlineStr">
        <is>
          <t>其他收益 (政府补助) Other income (subsidy)</t>
        </is>
      </c>
      <c r="B23" s="14" t="n">
        <v>42.83</v>
      </c>
      <c r="C23" s="14" t="n">
        <v>38.34</v>
      </c>
      <c r="D23" s="14" t="n">
        <v>55.33</v>
      </c>
      <c r="E23" s="14" t="n">
        <v>80.09999999999999</v>
      </c>
      <c r="F23" s="14" t="n">
        <v>49.4</v>
      </c>
      <c r="G23" s="15" t="n">
        <v>49.77519659999999</v>
      </c>
      <c r="H23" s="15" t="n">
        <v>50.75608464000001</v>
      </c>
      <c r="I23" s="15" t="n">
        <v>59.2205361708</v>
      </c>
      <c r="J23" s="15" t="n">
        <v>59.0495754716385</v>
      </c>
      <c r="K23" s="15" t="n">
        <v>65.98994200733603</v>
      </c>
    </row>
    <row r="24">
      <c r="A24" s="13" t="inlineStr">
        <is>
          <t>投资收益 Investment income</t>
        </is>
      </c>
      <c r="B24" s="14" t="n">
        <v>16.51</v>
      </c>
      <c r="C24" s="14" t="n">
        <v>10.02</v>
      </c>
      <c r="D24" s="14" t="n">
        <v>-2.39</v>
      </c>
      <c r="E24" s="14" t="n">
        <v>160.26</v>
      </c>
      <c r="F24" s="14" t="n">
        <v>-5.29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</row>
    <row r="25">
      <c r="A25" s="13" t="inlineStr">
        <is>
          <t>信用 / 资产减值 Credit + Asset impairment</t>
        </is>
      </c>
      <c r="B25" s="14" t="n">
        <v>-21.78</v>
      </c>
      <c r="C25" s="14" t="n">
        <v>-84.22</v>
      </c>
      <c r="D25" s="14" t="n">
        <v>-101.65</v>
      </c>
      <c r="E25" s="14" t="n">
        <v>-76.07000000000001</v>
      </c>
      <c r="F25" s="14" t="n">
        <v>-10.78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</row>
    <row r="26">
      <c r="A26" s="13" t="inlineStr">
        <is>
          <t>资产处置收益 Asset disposal gain</t>
        </is>
      </c>
      <c r="B26" s="14" t="n">
        <v>0.46</v>
      </c>
      <c r="C26" s="14" t="n">
        <v>3</v>
      </c>
      <c r="D26" s="14" t="n">
        <v>9.82</v>
      </c>
      <c r="E26" s="14" t="n">
        <v>4.78</v>
      </c>
      <c r="F26" s="14" t="n">
        <v>36.19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</row>
    <row r="27">
      <c r="A27" s="13" t="inlineStr">
        <is>
          <t>公允价值变动 FV change</t>
        </is>
      </c>
      <c r="B27" s="14" t="n">
        <v>-0.6</v>
      </c>
      <c r="C27" s="14" t="n">
        <v>-5.3</v>
      </c>
      <c r="D27" s="14" t="n">
        <v>0.17</v>
      </c>
      <c r="E27" s="14" t="n">
        <v>0</v>
      </c>
      <c r="F27" s="14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</row>
    <row r="28">
      <c r="A28" s="23" t="inlineStr">
        <is>
          <t>EBIT / EBITDA</t>
        </is>
      </c>
    </row>
    <row r="29">
      <c r="A29" s="16" t="inlineStr">
        <is>
          <t>营业利润 Operating profit (EBIT)</t>
        </is>
      </c>
      <c r="B29" s="17" t="n">
        <v>146.3600000000001</v>
      </c>
      <c r="C29" s="17" t="n">
        <v>101.1999999999998</v>
      </c>
      <c r="D29" s="17" t="n">
        <v>124.5999999999998</v>
      </c>
      <c r="E29" s="17" t="n">
        <v>520.4200000000003</v>
      </c>
      <c r="F29" s="17" t="n">
        <v>548.6900000000003</v>
      </c>
      <c r="G29" s="17" t="n">
        <v>460.1440396799995</v>
      </c>
      <c r="H29" s="17" t="n">
        <v>597.6528966359999</v>
      </c>
      <c r="I29" s="17" t="n">
        <v>830.5680197954697</v>
      </c>
      <c r="J29" s="17" t="n">
        <v>1022.401221023226</v>
      </c>
      <c r="K29" s="17" t="n">
        <v>1180.277248474067</v>
      </c>
    </row>
    <row r="30">
      <c r="A30" s="13" t="inlineStr">
        <is>
          <t xml:space="preserve">     EBIT margin %</t>
        </is>
      </c>
      <c r="B30" s="18" t="n">
        <v>0.03974689731961006</v>
      </c>
      <c r="C30" s="18" t="n">
        <v>0.0241799831791421</v>
      </c>
      <c r="D30" s="18" t="n">
        <v>0.03010519906640052</v>
      </c>
      <c r="E30" s="18" t="n">
        <v>0.1059810609917524</v>
      </c>
      <c r="F30" s="18" t="n">
        <v>0.100058354760472</v>
      </c>
      <c r="G30" s="18" t="n">
        <v>0.0831999999999999</v>
      </c>
      <c r="H30" s="18" t="n">
        <v>0.09419999999999998</v>
      </c>
      <c r="I30" s="18" t="n">
        <v>0.1122</v>
      </c>
      <c r="J30" s="18" t="n">
        <v>0.1212</v>
      </c>
      <c r="K30" s="18" t="n">
        <v>0.1252</v>
      </c>
    </row>
    <row r="31">
      <c r="A31" s="13" t="inlineStr">
        <is>
          <t>加：D&amp;A (estimated)</t>
        </is>
      </c>
      <c r="B31" s="14" t="n">
        <v>166</v>
      </c>
      <c r="C31" s="14" t="n">
        <v>188</v>
      </c>
      <c r="D31" s="14" t="n">
        <v>186</v>
      </c>
      <c r="E31" s="14" t="n">
        <v>221</v>
      </c>
      <c r="F31" s="14" t="n">
        <v>247</v>
      </c>
      <c r="G31" s="15" t="n">
        <v>248.875983</v>
      </c>
      <c r="H31" s="15" t="n">
        <v>272.81395494</v>
      </c>
      <c r="I31" s="15" t="n">
        <v>310.9078148967</v>
      </c>
      <c r="J31" s="15" t="n">
        <v>337.42614555222</v>
      </c>
      <c r="K31" s="15" t="n">
        <v>377.0853828990629</v>
      </c>
    </row>
    <row r="32">
      <c r="A32" s="16" t="inlineStr">
        <is>
          <t>EBITDA (EBIT + D&amp;A)</t>
        </is>
      </c>
      <c r="B32" s="17" t="n">
        <v>312.3600000000001</v>
      </c>
      <c r="C32" s="17" t="n">
        <v>289.1999999999998</v>
      </c>
      <c r="D32" s="17" t="n">
        <v>310.5999999999998</v>
      </c>
      <c r="E32" s="17" t="n">
        <v>741.4200000000003</v>
      </c>
      <c r="F32" s="17" t="n">
        <v>795.6900000000003</v>
      </c>
      <c r="G32" s="17" t="n">
        <v>709.0200226799994</v>
      </c>
      <c r="H32" s="17" t="n">
        <v>870.466851576</v>
      </c>
      <c r="I32" s="17" t="n">
        <v>1141.47583469217</v>
      </c>
      <c r="J32" s="17" t="n">
        <v>1359.827366575446</v>
      </c>
      <c r="K32" s="17" t="n">
        <v>1557.36263137313</v>
      </c>
    </row>
    <row r="33">
      <c r="A33" s="13" t="inlineStr">
        <is>
          <t xml:space="preserve">     EBITDA margin %</t>
        </is>
      </c>
      <c r="B33" s="18" t="n">
        <v>0.08482741764657961</v>
      </c>
      <c r="C33" s="18" t="n">
        <v>0.06909931951984093</v>
      </c>
      <c r="D33" s="18" t="n">
        <v>0.07504554438221518</v>
      </c>
      <c r="E33" s="18" t="n">
        <v>0.1509866612361267</v>
      </c>
      <c r="F33" s="18" t="n">
        <v>0.1451009354997539</v>
      </c>
      <c r="G33" s="18" t="n">
        <v>0.1281999999999999</v>
      </c>
      <c r="H33" s="18" t="n">
        <v>0.1372</v>
      </c>
      <c r="I33" s="18" t="n">
        <v>0.1542</v>
      </c>
      <c r="J33" s="18" t="n">
        <v>0.1612</v>
      </c>
      <c r="K33" s="18" t="n">
        <v>0.1652</v>
      </c>
    </row>
    <row r="34">
      <c r="A34" s="23" t="inlineStr">
        <is>
          <t>NON-OPERATING &amp; TAX</t>
        </is>
      </c>
    </row>
    <row r="35">
      <c r="A35" s="13" t="inlineStr">
        <is>
          <t>营业外收入 Non-op income</t>
        </is>
      </c>
      <c r="B35" s="14" t="n">
        <v>4.14</v>
      </c>
      <c r="C35" s="14" t="n">
        <v>1.48</v>
      </c>
      <c r="D35" s="14" t="n">
        <v>2.01</v>
      </c>
      <c r="E35" s="14" t="n">
        <v>3.7</v>
      </c>
      <c r="F35" s="14" t="n">
        <v>6.71</v>
      </c>
      <c r="G35" s="15" t="n">
        <v>3</v>
      </c>
      <c r="H35" s="15" t="n">
        <v>3</v>
      </c>
      <c r="I35" s="15" t="n">
        <v>3</v>
      </c>
      <c r="J35" s="15" t="n">
        <v>3</v>
      </c>
      <c r="K35" s="15" t="n">
        <v>3</v>
      </c>
    </row>
    <row r="36">
      <c r="A36" s="13" t="inlineStr">
        <is>
          <t>营业外支出 Non-op expense</t>
        </is>
      </c>
      <c r="B36" s="14" t="n">
        <v>1.64</v>
      </c>
      <c r="C36" s="14" t="n">
        <v>9.5</v>
      </c>
      <c r="D36" s="14" t="n">
        <v>20.2</v>
      </c>
      <c r="E36" s="14" t="n">
        <v>15.49</v>
      </c>
      <c r="F36" s="14" t="n">
        <v>3.91</v>
      </c>
      <c r="G36" s="15" t="n">
        <v>4</v>
      </c>
      <c r="H36" s="15" t="n">
        <v>4</v>
      </c>
      <c r="I36" s="15" t="n">
        <v>4</v>
      </c>
      <c r="J36" s="15" t="n">
        <v>4</v>
      </c>
      <c r="K36" s="15" t="n">
        <v>4</v>
      </c>
    </row>
    <row r="37">
      <c r="A37" s="27" t="inlineStr">
        <is>
          <t>利润总额 Profit before tax (PBT)</t>
        </is>
      </c>
      <c r="B37" s="28" t="n">
        <v>148.8600000000001</v>
      </c>
      <c r="C37" s="28" t="n">
        <v>93.17999999999982</v>
      </c>
      <c r="D37" s="28" t="n">
        <v>106.4099999999998</v>
      </c>
      <c r="E37" s="28" t="n">
        <v>508.6300000000003</v>
      </c>
      <c r="F37" s="28" t="n">
        <v>551.4900000000004</v>
      </c>
      <c r="G37" s="28" t="n">
        <v>459.1440396799995</v>
      </c>
      <c r="H37" s="28" t="n">
        <v>596.6528966359999</v>
      </c>
      <c r="I37" s="28" t="n">
        <v>829.5680197954697</v>
      </c>
      <c r="J37" s="28" t="n">
        <v>1021.401221023226</v>
      </c>
      <c r="K37" s="28" t="n">
        <v>1179.277248474067</v>
      </c>
    </row>
    <row r="38">
      <c r="A38" s="13" t="inlineStr">
        <is>
          <t>所得税费用 Income tax</t>
        </is>
      </c>
      <c r="B38" s="14" t="n">
        <v>23.88</v>
      </c>
      <c r="C38" s="14" t="n">
        <v>17.27</v>
      </c>
      <c r="D38" s="14" t="n">
        <v>24.47</v>
      </c>
      <c r="E38" s="14" t="n">
        <v>11.02</v>
      </c>
      <c r="F38" s="14" t="n">
        <v>48.26</v>
      </c>
      <c r="G38" s="15" t="n">
        <v>59.68872515839993</v>
      </c>
      <c r="H38" s="15" t="n">
        <v>77.56487656268</v>
      </c>
      <c r="I38" s="15" t="n">
        <v>107.8438425734111</v>
      </c>
      <c r="J38" s="15" t="n">
        <v>142.9961709432517</v>
      </c>
      <c r="K38" s="15" t="n">
        <v>165.0988147863694</v>
      </c>
    </row>
    <row r="39">
      <c r="A39" s="13" t="inlineStr">
        <is>
          <t xml:space="preserve">     Effective tax rate %</t>
        </is>
      </c>
      <c r="B39" s="18" t="n">
        <v>0.1604191858121724</v>
      </c>
      <c r="C39" s="18" t="n">
        <v>0.1853402017600347</v>
      </c>
      <c r="D39" s="18" t="n">
        <v>0.2299595902640734</v>
      </c>
      <c r="E39" s="18" t="n">
        <v>0.02166604407919311</v>
      </c>
      <c r="F39" s="18" t="n">
        <v>0.08750838637146634</v>
      </c>
      <c r="G39" s="18" t="n">
        <v>0.13</v>
      </c>
      <c r="H39" s="18" t="n">
        <v>0.13</v>
      </c>
      <c r="I39" s="18" t="n">
        <v>0.13</v>
      </c>
      <c r="J39" s="18" t="n">
        <v>0.14</v>
      </c>
      <c r="K39" s="18" t="n">
        <v>0.14</v>
      </c>
    </row>
    <row r="40">
      <c r="A40" s="23" t="inlineStr">
        <is>
          <t>NET INCOME</t>
        </is>
      </c>
    </row>
    <row r="41">
      <c r="A41" s="16" t="inlineStr">
        <is>
          <t>净利润 Net income (consolidated)</t>
        </is>
      </c>
      <c r="B41" s="17" t="n">
        <v>124.97</v>
      </c>
      <c r="C41" s="17" t="n">
        <v>75.88</v>
      </c>
      <c r="D41" s="17" t="n">
        <v>81.94</v>
      </c>
      <c r="E41" s="17" t="n">
        <v>497.62</v>
      </c>
      <c r="F41" s="17" t="n">
        <v>503.23</v>
      </c>
      <c r="G41" s="17" t="n">
        <v>399.4553145215996</v>
      </c>
      <c r="H41" s="17" t="n">
        <v>519.08802007332</v>
      </c>
      <c r="I41" s="17" t="n">
        <v>721.7241772220586</v>
      </c>
      <c r="J41" s="17" t="n">
        <v>878.4050500799747</v>
      </c>
      <c r="K41" s="17" t="n">
        <v>1014.178433687698</v>
      </c>
    </row>
    <row r="42">
      <c r="A42" s="13" t="inlineStr">
        <is>
          <t xml:space="preserve">     归母净利润 Net income to parent</t>
        </is>
      </c>
      <c r="B42" s="14" t="n">
        <v>128.87</v>
      </c>
      <c r="C42" s="14" t="n">
        <v>75.17</v>
      </c>
      <c r="D42" s="14" t="n">
        <v>80.88</v>
      </c>
      <c r="E42" s="14" t="n">
        <v>497.01</v>
      </c>
      <c r="F42" s="14" t="n">
        <v>503.23</v>
      </c>
      <c r="G42" s="15" t="n">
        <v>399.4553145215996</v>
      </c>
      <c r="H42" s="15" t="n">
        <v>519.08802007332</v>
      </c>
      <c r="I42" s="15" t="n">
        <v>721.7241772220586</v>
      </c>
      <c r="J42" s="15" t="n">
        <v>878.4050500799747</v>
      </c>
      <c r="K42" s="15" t="n">
        <v>1014.178433687698</v>
      </c>
    </row>
    <row r="43">
      <c r="A43" s="13" t="inlineStr">
        <is>
          <t xml:space="preserve">     少数股东损益 Minority interest</t>
        </is>
      </c>
      <c r="B43" s="14" t="n">
        <v>-3.9</v>
      </c>
      <c r="C43" s="14" t="n">
        <v>0.71</v>
      </c>
      <c r="D43" s="14" t="n">
        <v>1.06</v>
      </c>
      <c r="E43" s="14" t="n">
        <v>0.61</v>
      </c>
      <c r="F43" s="14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</row>
    <row r="44">
      <c r="A44" s="13" t="inlineStr">
        <is>
          <t xml:space="preserve">     Net margin (consolidated) %</t>
        </is>
      </c>
      <c r="B44" s="18" t="n">
        <v>0.03393802786302039</v>
      </c>
      <c r="C44" s="18" t="n">
        <v>0.0181302087315544</v>
      </c>
      <c r="D44" s="18" t="n">
        <v>0.01979791341493469</v>
      </c>
      <c r="E44" s="18" t="n">
        <v>0.1013379492923328</v>
      </c>
      <c r="F44" s="18" t="n">
        <v>0.09176833160092639</v>
      </c>
      <c r="G44" s="18" t="n">
        <v>0.07222669273584338</v>
      </c>
      <c r="H44" s="18" t="n">
        <v>0.08181687358354439</v>
      </c>
      <c r="I44" s="18" t="n">
        <v>0.09749647320186484</v>
      </c>
      <c r="J44" s="18" t="n">
        <v>0.1041300517649463</v>
      </c>
      <c r="K44" s="18" t="n">
        <v>0.1075807739765049</v>
      </c>
    </row>
    <row r="45">
      <c r="A45" s="23" t="inlineStr">
        <is>
          <t>PER-SHARE METRICS</t>
        </is>
      </c>
    </row>
    <row r="46">
      <c r="A46" s="13" t="inlineStr">
        <is>
          <t>加权平均股本 Weighted-avg shares (mn)</t>
        </is>
      </c>
      <c r="B46" s="14" t="n">
        <v>402.15</v>
      </c>
      <c r="C46" s="14" t="n">
        <v>402.15</v>
      </c>
      <c r="D46" s="14" t="n">
        <v>402.15</v>
      </c>
      <c r="E46" s="14" t="n">
        <v>564.85</v>
      </c>
      <c r="F46" s="14" t="n">
        <v>571.98</v>
      </c>
      <c r="G46" s="15" t="n">
        <v>572</v>
      </c>
      <c r="H46" s="15" t="n">
        <v>572</v>
      </c>
      <c r="I46" s="15" t="n">
        <v>572</v>
      </c>
      <c r="J46" s="15" t="n">
        <v>572</v>
      </c>
      <c r="K46" s="15" t="n">
        <v>572</v>
      </c>
    </row>
    <row r="47">
      <c r="A47" s="13" t="inlineStr">
        <is>
          <t>EPS 基本 Basic EPS (¥)</t>
        </is>
      </c>
      <c r="B47" s="15" t="n">
        <v>0.32</v>
      </c>
      <c r="C47" s="15" t="n">
        <v>0.19</v>
      </c>
      <c r="D47" s="15" t="n">
        <v>0.2</v>
      </c>
      <c r="E47" s="15" t="n">
        <v>0.89</v>
      </c>
      <c r="F47" s="15" t="n">
        <v>0.89</v>
      </c>
      <c r="G47" s="15" t="n">
        <v>0.6983484519608384</v>
      </c>
      <c r="H47" s="15" t="n">
        <v>0.9074965385897202</v>
      </c>
      <c r="I47" s="15" t="n">
        <v>1.261755554584019</v>
      </c>
      <c r="J47" s="15" t="n">
        <v>1.53567316447548</v>
      </c>
      <c r="K47" s="15" t="n">
        <v>1.773039219733737</v>
      </c>
    </row>
    <row r="48">
      <c r="A48" s="13" t="inlineStr">
        <is>
          <t>EPS 稀释 Diluted EPS (¥)</t>
        </is>
      </c>
      <c r="B48" s="15" t="n">
        <v>0.32</v>
      </c>
      <c r="C48" s="15" t="n">
        <v>0.19</v>
      </c>
      <c r="D48" s="15" t="n">
        <v>0.2</v>
      </c>
      <c r="E48" s="15" t="n">
        <v>0.88</v>
      </c>
      <c r="F48" s="15" t="n">
        <v>0.87</v>
      </c>
      <c r="G48" s="15" t="n">
        <v>0.6846553450596454</v>
      </c>
      <c r="H48" s="15" t="n">
        <v>0.8897024888134512</v>
      </c>
      <c r="I48" s="15" t="n">
        <v>1.237015249592175</v>
      </c>
      <c r="J48" s="15" t="n">
        <v>1.505561925956353</v>
      </c>
      <c r="K48" s="15" t="n">
        <v>1.738273744836997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9" t="inlineStr">
        <is>
          <t>Cash Flow Statement (Consolidated, indirect-method projections)</t>
        </is>
      </c>
    </row>
    <row r="2">
      <c r="A2" s="10" t="inlineStr">
        <is>
          <t>Units: CNY mn</t>
        </is>
      </c>
    </row>
    <row r="3">
      <c r="A3" s="11" t="inlineStr">
        <is>
          <t>项目 / Line item</t>
        </is>
      </c>
      <c r="B3" s="11" t="inlineStr">
        <is>
          <t>2021A</t>
        </is>
      </c>
      <c r="C3" s="11" t="inlineStr">
        <is>
          <t>2022A</t>
        </is>
      </c>
      <c r="D3" s="11" t="inlineStr">
        <is>
          <t>2023A</t>
        </is>
      </c>
      <c r="E3" s="11" t="inlineStr">
        <is>
          <t>2024A</t>
        </is>
      </c>
      <c r="F3" s="11" t="inlineStr">
        <is>
          <t>2025A</t>
        </is>
      </c>
      <c r="G3" s="11" t="inlineStr">
        <is>
          <t>2026E</t>
        </is>
      </c>
      <c r="H3" s="11" t="inlineStr">
        <is>
          <t>2027E</t>
        </is>
      </c>
      <c r="I3" s="11" t="inlineStr">
        <is>
          <t>2028E</t>
        </is>
      </c>
      <c r="J3" s="11" t="inlineStr">
        <is>
          <t>2029E</t>
        </is>
      </c>
      <c r="K3" s="11" t="inlineStr">
        <is>
          <t>2030E</t>
        </is>
      </c>
    </row>
    <row r="4">
      <c r="A4" s="23" t="inlineStr">
        <is>
          <t>OPERATING ACTIVITIES</t>
        </is>
      </c>
    </row>
    <row r="5">
      <c r="A5" s="13" t="inlineStr">
        <is>
          <t>净利润 Net income (link from IS)</t>
        </is>
      </c>
      <c r="B5" s="29" t="n">
        <v>124.97</v>
      </c>
      <c r="C5" s="29" t="n">
        <v>75.88</v>
      </c>
      <c r="D5" s="29" t="n">
        <v>81.94</v>
      </c>
      <c r="E5" s="29" t="n">
        <v>497.62</v>
      </c>
      <c r="F5" s="29" t="n">
        <v>503.23</v>
      </c>
      <c r="G5" s="29" t="n">
        <v>399.4553145215996</v>
      </c>
      <c r="H5" s="29" t="n">
        <v>519.08802007332</v>
      </c>
      <c r="I5" s="29" t="n">
        <v>721.7241772220586</v>
      </c>
      <c r="J5" s="29" t="n">
        <v>878.4050500799747</v>
      </c>
      <c r="K5" s="29" t="n">
        <v>1014.178433687698</v>
      </c>
    </row>
    <row r="6">
      <c r="A6" s="13" t="inlineStr">
        <is>
          <t>加：折旧摊销 D&amp;A (estimate)</t>
        </is>
      </c>
      <c r="B6" s="14" t="n">
        <v>166</v>
      </c>
      <c r="C6" s="14" t="n">
        <v>188</v>
      </c>
      <c r="D6" s="14" t="n">
        <v>186</v>
      </c>
      <c r="E6" s="14" t="n">
        <v>221</v>
      </c>
      <c r="F6" s="14" t="n">
        <v>247</v>
      </c>
      <c r="G6" s="15" t="n">
        <v>248.875983</v>
      </c>
      <c r="H6" s="15" t="n">
        <v>272.81395494</v>
      </c>
      <c r="I6" s="15" t="n">
        <v>310.9078148967</v>
      </c>
      <c r="J6" s="15" t="n">
        <v>337.42614555222</v>
      </c>
      <c r="K6" s="15" t="n">
        <v>377.0853828990629</v>
      </c>
    </row>
    <row r="7">
      <c r="A7" s="13" t="inlineStr">
        <is>
          <t>营运资本变动 ΔWorking capital</t>
        </is>
      </c>
      <c r="B7" s="14" t="n">
        <v>134.87</v>
      </c>
      <c r="C7" s="14" t="n">
        <v>179.03</v>
      </c>
      <c r="D7" s="14" t="n">
        <v>109.68</v>
      </c>
      <c r="E7" s="14" t="n">
        <v>-47.48000000000002</v>
      </c>
      <c r="F7" s="14" t="n">
        <v>31.21000000000004</v>
      </c>
      <c r="G7" s="15" t="n">
        <v>-4.687740000000031</v>
      </c>
      <c r="H7" s="15" t="n">
        <v>-97.67198160000011</v>
      </c>
      <c r="I7" s="15" t="n">
        <v>-158.7084662024997</v>
      </c>
      <c r="J7" s="15" t="n">
        <v>-154.962992618325</v>
      </c>
      <c r="K7" s="15" t="n">
        <v>-148.7221400506612</v>
      </c>
    </row>
    <row r="8">
      <c r="A8" s="16" t="inlineStr">
        <is>
          <t>经营活动现金流量净额 CFO</t>
        </is>
      </c>
      <c r="B8" s="17" t="n">
        <v>425.84</v>
      </c>
      <c r="C8" s="17" t="n">
        <v>442.91</v>
      </c>
      <c r="D8" s="17" t="n">
        <v>377.62</v>
      </c>
      <c r="E8" s="17" t="n">
        <v>671.14</v>
      </c>
      <c r="F8" s="17" t="n">
        <v>781.4400000000001</v>
      </c>
      <c r="G8" s="17" t="n">
        <v>643.6435575215995</v>
      </c>
      <c r="H8" s="17" t="n">
        <v>694.2299934133199</v>
      </c>
      <c r="I8" s="17" t="n">
        <v>873.923525916259</v>
      </c>
      <c r="J8" s="17" t="n">
        <v>1060.86820301387</v>
      </c>
      <c r="K8" s="17" t="n">
        <v>1242.541676536099</v>
      </c>
    </row>
    <row r="9">
      <c r="A9" s="13" t="inlineStr">
        <is>
          <t xml:space="preserve">     Memo: 销售商品劳务收到的现金 Cash from sales (hist)</t>
        </is>
      </c>
      <c r="B9" s="14" t="n">
        <v>3665.17</v>
      </c>
      <c r="C9" s="14" t="n">
        <v>3947.68</v>
      </c>
      <c r="D9" s="14" t="n">
        <v>3645.52</v>
      </c>
      <c r="E9" s="14" t="n">
        <v>4227.18</v>
      </c>
      <c r="F9" s="14" t="n">
        <v>4639.93</v>
      </c>
      <c r="G9" s="15" t="n"/>
      <c r="H9" s="15" t="n"/>
      <c r="I9" s="15" t="n"/>
      <c r="J9" s="15" t="n"/>
      <c r="K9" s="15" t="n"/>
    </row>
    <row r="10">
      <c r="A10" s="13" t="inlineStr">
        <is>
          <t xml:space="preserve">     Memo: 支付给职工现金 Cash to employees (hist)</t>
        </is>
      </c>
      <c r="B10" s="14" t="n">
        <v>523.34</v>
      </c>
      <c r="C10" s="14" t="n">
        <v>562.27</v>
      </c>
      <c r="D10" s="14" t="n">
        <v>587.33</v>
      </c>
      <c r="E10" s="14" t="n">
        <v>647.5700000000001</v>
      </c>
      <c r="F10" s="14" t="n">
        <v>708.6799999999999</v>
      </c>
      <c r="G10" s="15" t="n"/>
      <c r="H10" s="15" t="n"/>
      <c r="I10" s="15" t="n"/>
      <c r="J10" s="15" t="n"/>
      <c r="K10" s="15" t="n"/>
    </row>
    <row r="11">
      <c r="A11" s="13" t="inlineStr">
        <is>
          <t xml:space="preserve">     Memo: 收到的税费返还 Tax refunds (hist)</t>
        </is>
      </c>
      <c r="B11" s="14" t="n">
        <v>30.82</v>
      </c>
      <c r="C11" s="14" t="n">
        <v>31.62</v>
      </c>
      <c r="D11" s="14" t="n">
        <v>6.61</v>
      </c>
      <c r="E11" s="14" t="n">
        <v>32.82</v>
      </c>
      <c r="F11" s="14" t="n">
        <v>9.93</v>
      </c>
      <c r="G11" s="15" t="n"/>
      <c r="H11" s="15" t="n"/>
      <c r="I11" s="15" t="n"/>
      <c r="J11" s="15" t="n"/>
      <c r="K11" s="15" t="n"/>
    </row>
    <row r="12">
      <c r="A12" s="23" t="inlineStr">
        <is>
          <t>INVESTING ACTIVITIES</t>
        </is>
      </c>
    </row>
    <row r="13">
      <c r="A13" s="13" t="inlineStr">
        <is>
          <t>购建固定无形资产支付的现金 CapEx</t>
        </is>
      </c>
      <c r="B13" s="14" t="n">
        <v>253.1</v>
      </c>
      <c r="C13" s="14" t="n">
        <v>213.07</v>
      </c>
      <c r="D13" s="14" t="n">
        <v>277.44</v>
      </c>
      <c r="E13" s="14" t="n">
        <v>296.17</v>
      </c>
      <c r="F13" s="14" t="n">
        <v>408.06</v>
      </c>
      <c r="G13" s="15" t="n">
        <v>470.099079</v>
      </c>
      <c r="H13" s="15" t="n">
        <v>444.1157406000001</v>
      </c>
      <c r="I13" s="15" t="n">
        <v>444.1540212809999</v>
      </c>
      <c r="J13" s="15" t="n">
        <v>463.9609501343024</v>
      </c>
      <c r="K13" s="15" t="n">
        <v>471.3567286238288</v>
      </c>
    </row>
    <row r="14">
      <c r="A14" s="13" t="inlineStr">
        <is>
          <t xml:space="preserve">     CapEx % of revenue</t>
        </is>
      </c>
      <c r="B14" s="18" t="n">
        <v>0.06873421502865057</v>
      </c>
      <c r="C14" s="18" t="n">
        <v>0.05090937762825904</v>
      </c>
      <c r="D14" s="18" t="n">
        <v>0.06703359894849258</v>
      </c>
      <c r="E14" s="18" t="n">
        <v>0.0603136136849608</v>
      </c>
      <c r="F14" s="18" t="n">
        <v>0.07441326111931726</v>
      </c>
      <c r="G14" s="18" t="n">
        <v>0.08500000000000001</v>
      </c>
      <c r="H14" s="18" t="n">
        <v>0.07000000000000001</v>
      </c>
      <c r="I14" s="18" t="n">
        <v>0.06</v>
      </c>
      <c r="J14" s="18" t="n">
        <v>0.055</v>
      </c>
      <c r="K14" s="18" t="n">
        <v>0.05</v>
      </c>
    </row>
    <row r="15">
      <c r="A15" s="13" t="inlineStr">
        <is>
          <t>处置 / 其他投资 (净) Net other investing</t>
        </is>
      </c>
      <c r="B15" s="14" t="n">
        <v>43.49000000000001</v>
      </c>
      <c r="C15" s="14" t="n">
        <v>6.740000000000009</v>
      </c>
      <c r="D15" s="14" t="n">
        <v>71.55000000000001</v>
      </c>
      <c r="E15" s="14" t="n">
        <v>187.86</v>
      </c>
      <c r="F15" s="14" t="n">
        <v>-146.29</v>
      </c>
      <c r="G15" s="15" t="n">
        <v>-50</v>
      </c>
      <c r="H15" s="15" t="n">
        <v>-50</v>
      </c>
      <c r="I15" s="15" t="n">
        <v>-50</v>
      </c>
      <c r="J15" s="15" t="n">
        <v>-50</v>
      </c>
      <c r="K15" s="15" t="n">
        <v>-50</v>
      </c>
    </row>
    <row r="16">
      <c r="A16" s="27" t="inlineStr">
        <is>
          <t>投资活动现金流量净额 CFI</t>
        </is>
      </c>
      <c r="B16" s="28" t="n">
        <v>290.39</v>
      </c>
      <c r="C16" s="28" t="n">
        <v>-207.78</v>
      </c>
      <c r="D16" s="28" t="n">
        <v>-205.88</v>
      </c>
      <c r="E16" s="28" t="n">
        <v>-108.31</v>
      </c>
      <c r="F16" s="28" t="n">
        <v>-554.35</v>
      </c>
      <c r="G16" s="28" t="n">
        <v>-520.0990790000001</v>
      </c>
      <c r="H16" s="28" t="n">
        <v>-494.1157406000001</v>
      </c>
      <c r="I16" s="28" t="n">
        <v>-494.1540212809999</v>
      </c>
      <c r="J16" s="28" t="n">
        <v>-513.9609501343025</v>
      </c>
      <c r="K16" s="28" t="n">
        <v>-521.3567286238288</v>
      </c>
    </row>
    <row r="17">
      <c r="A17" s="23" t="inlineStr">
        <is>
          <t>FINANCING ACTIVITIES</t>
        </is>
      </c>
    </row>
    <row r="18">
      <c r="A18" s="13" t="inlineStr">
        <is>
          <t>取得借款 Debt issued</t>
        </is>
      </c>
      <c r="B18" s="14" t="n">
        <v>1597.92</v>
      </c>
      <c r="C18" s="14" t="n">
        <v>1438.6</v>
      </c>
      <c r="D18" s="14" t="n">
        <v>1117.05</v>
      </c>
      <c r="E18" s="14" t="n">
        <v>879.95</v>
      </c>
      <c r="F18" s="14" t="n">
        <v>980</v>
      </c>
      <c r="G18" s="15" t="n">
        <v>880</v>
      </c>
      <c r="H18" s="15" t="n">
        <v>700</v>
      </c>
      <c r="I18" s="15" t="n">
        <v>600</v>
      </c>
      <c r="J18" s="15" t="n">
        <v>550</v>
      </c>
      <c r="K18" s="15" t="n">
        <v>500</v>
      </c>
    </row>
    <row r="19">
      <c r="A19" s="13" t="inlineStr">
        <is>
          <t>偿还债务 Debt repaid</t>
        </is>
      </c>
      <c r="B19" s="14" t="n">
        <v>1753.22</v>
      </c>
      <c r="C19" s="14" t="n">
        <v>1693.84</v>
      </c>
      <c r="D19" s="14" t="n">
        <v>1216.45</v>
      </c>
      <c r="E19" s="14" t="n">
        <v>1168.75</v>
      </c>
      <c r="F19" s="14" t="n">
        <v>1080.86</v>
      </c>
      <c r="G19" s="15" t="n">
        <v>800</v>
      </c>
      <c r="H19" s="15" t="n">
        <v>800</v>
      </c>
      <c r="I19" s="15" t="n">
        <v>700</v>
      </c>
      <c r="J19" s="15" t="n">
        <v>600</v>
      </c>
      <c r="K19" s="15" t="n">
        <v>550</v>
      </c>
    </row>
    <row r="20">
      <c r="A20" s="13" t="inlineStr">
        <is>
          <t>吸收投资 Equity issued (HKEX IPO?)</t>
        </is>
      </c>
      <c r="B20" s="14" t="n">
        <v>0</v>
      </c>
      <c r="C20" s="14" t="n">
        <v>0</v>
      </c>
      <c r="D20" s="14" t="n">
        <v>0</v>
      </c>
      <c r="E20" s="14" t="n">
        <v>0</v>
      </c>
      <c r="F20" s="14" t="n">
        <v>51.7</v>
      </c>
      <c r="G20" s="15" t="n">
        <v>800</v>
      </c>
      <c r="H20" s="15" t="n">
        <v>0</v>
      </c>
      <c r="I20" s="15" t="n">
        <v>0</v>
      </c>
      <c r="J20" s="15" t="n">
        <v>0</v>
      </c>
      <c r="K20" s="15" t="n">
        <v>0</v>
      </c>
    </row>
    <row r="21">
      <c r="A21" s="13" t="inlineStr">
        <is>
          <t>分配股利利息 Dividends + interest paid</t>
        </is>
      </c>
      <c r="B21" s="14" t="n">
        <v>79.47</v>
      </c>
      <c r="C21" s="14" t="n">
        <v>334.38</v>
      </c>
      <c r="D21" s="14" t="n">
        <v>53.41</v>
      </c>
      <c r="E21" s="14" t="n">
        <v>75.70999999999999</v>
      </c>
      <c r="F21" s="14" t="n">
        <v>100.07</v>
      </c>
      <c r="G21" s="15" t="n">
        <v>79.89106290431992</v>
      </c>
      <c r="H21" s="15" t="n">
        <v>103.817604014664</v>
      </c>
      <c r="I21" s="15" t="n">
        <v>158.7793189888529</v>
      </c>
      <c r="J21" s="15" t="n">
        <v>193.2491110175944</v>
      </c>
      <c r="K21" s="15" t="n">
        <v>223.1192554112935</v>
      </c>
    </row>
    <row r="22">
      <c r="A22" s="13" t="inlineStr">
        <is>
          <t>其他筹资 Other financing</t>
        </is>
      </c>
      <c r="B22" s="14" t="n">
        <v>14.81</v>
      </c>
      <c r="C22" s="14" t="n">
        <v>9.01</v>
      </c>
      <c r="D22" s="14" t="n">
        <v>11.33</v>
      </c>
      <c r="E22" s="14" t="n">
        <v>37.56</v>
      </c>
      <c r="F22" s="14" t="n">
        <v>27.49</v>
      </c>
      <c r="G22" s="15" t="n">
        <v>30</v>
      </c>
      <c r="H22" s="15" t="n">
        <v>30</v>
      </c>
      <c r="I22" s="15" t="n">
        <v>30</v>
      </c>
      <c r="J22" s="15" t="n">
        <v>30</v>
      </c>
      <c r="K22" s="15" t="n">
        <v>30</v>
      </c>
    </row>
    <row r="23">
      <c r="A23" s="27" t="inlineStr">
        <is>
          <t>筹资活动现金流量净额 CFF</t>
        </is>
      </c>
      <c r="B23" s="28" t="n">
        <v>-249.58</v>
      </c>
      <c r="C23" s="28" t="n">
        <v>-598.64</v>
      </c>
      <c r="D23" s="28" t="n">
        <v>-164.15</v>
      </c>
      <c r="E23" s="28" t="n">
        <v>-402.07</v>
      </c>
      <c r="F23" s="28" t="n">
        <v>-176.72</v>
      </c>
      <c r="G23" s="28" t="n">
        <v>770.1089370956801</v>
      </c>
      <c r="H23" s="28" t="n">
        <v>-233.817604014664</v>
      </c>
      <c r="I23" s="28" t="n">
        <v>-288.7793189888529</v>
      </c>
      <c r="J23" s="28" t="n">
        <v>-273.2491110175944</v>
      </c>
      <c r="K23" s="28" t="n">
        <v>-303.1192554112935</v>
      </c>
    </row>
    <row r="24">
      <c r="A24" s="23" t="inlineStr">
        <is>
          <t>SUMMARY &amp; FCF</t>
        </is>
      </c>
    </row>
    <row r="25">
      <c r="A25" s="13" t="inlineStr">
        <is>
          <t>汇率变动影响 FX impact</t>
        </is>
      </c>
      <c r="B25" s="14" t="n">
        <v>-1.67</v>
      </c>
      <c r="C25" s="14" t="n">
        <v>19.01</v>
      </c>
      <c r="D25" s="14" t="n">
        <v>5.34</v>
      </c>
      <c r="E25" s="14" t="n">
        <v>4.41</v>
      </c>
      <c r="F25" s="14" t="n">
        <v>0.1</v>
      </c>
      <c r="G25" s="15" t="n">
        <v>5</v>
      </c>
      <c r="H25" s="15" t="n">
        <v>5</v>
      </c>
      <c r="I25" s="15" t="n">
        <v>5</v>
      </c>
      <c r="J25" s="15" t="n">
        <v>5</v>
      </c>
      <c r="K25" s="15" t="n">
        <v>5</v>
      </c>
    </row>
    <row r="26">
      <c r="A26" s="27" t="inlineStr">
        <is>
          <t>现金净增加额 Net change in cash</t>
        </is>
      </c>
      <c r="B26" s="28" t="n">
        <v>464.98</v>
      </c>
      <c r="C26" s="28" t="n">
        <v>-344.5</v>
      </c>
      <c r="D26" s="28" t="n">
        <v>12.93</v>
      </c>
      <c r="E26" s="28" t="n">
        <v>165.18</v>
      </c>
      <c r="F26" s="28" t="n">
        <v>50.47</v>
      </c>
      <c r="G26" s="28" t="n">
        <v>898.6534156172795</v>
      </c>
      <c r="H26" s="28" t="n">
        <v>-28.70335120134419</v>
      </c>
      <c r="I26" s="28" t="n">
        <v>95.99018564640619</v>
      </c>
      <c r="J26" s="28" t="n">
        <v>278.6581418619726</v>
      </c>
      <c r="K26" s="28" t="n">
        <v>423.0656925009772</v>
      </c>
    </row>
    <row r="27">
      <c r="A27" s="13" t="inlineStr">
        <is>
          <t>期初现金 Beginning cash</t>
        </is>
      </c>
      <c r="B27" s="14" t="n">
        <v>212.86</v>
      </c>
      <c r="C27" s="14" t="n">
        <v>677.84</v>
      </c>
      <c r="D27" s="14" t="n">
        <v>333.34</v>
      </c>
      <c r="E27" s="14" t="n">
        <v>346.27</v>
      </c>
      <c r="F27" s="14" t="n">
        <v>511.44</v>
      </c>
      <c r="G27" s="15" t="n">
        <v>561.91</v>
      </c>
      <c r="H27" s="15" t="n">
        <v>1460.56341561728</v>
      </c>
      <c r="I27" s="15" t="n">
        <v>1431.860064415935</v>
      </c>
      <c r="J27" s="15" t="n">
        <v>1527.850250062342</v>
      </c>
      <c r="K27" s="15" t="n">
        <v>1806.508391924314</v>
      </c>
    </row>
    <row r="28">
      <c r="A28" s="24" t="inlineStr">
        <is>
          <t>期末现金 Ending cash</t>
        </is>
      </c>
      <c r="B28" s="26" t="n">
        <v>677.84</v>
      </c>
      <c r="C28" s="26" t="n">
        <v>333.34</v>
      </c>
      <c r="D28" s="26" t="n">
        <v>346.27</v>
      </c>
      <c r="E28" s="26" t="n">
        <v>511.44</v>
      </c>
      <c r="F28" s="26" t="n">
        <v>561.91</v>
      </c>
      <c r="G28" s="26" t="n">
        <v>1460.56341561728</v>
      </c>
      <c r="H28" s="26" t="n">
        <v>1431.860064415935</v>
      </c>
      <c r="I28" s="26" t="n">
        <v>1527.850250062342</v>
      </c>
      <c r="J28" s="26" t="n">
        <v>1806.508391924314</v>
      </c>
      <c r="K28" s="26" t="n">
        <v>2229.574084425291</v>
      </c>
    </row>
    <row r="29">
      <c r="A29" s="30" t="inlineStr">
        <is>
          <t>FREE CASH FLOW (FCF = CFO – CapEx)</t>
        </is>
      </c>
    </row>
    <row r="30">
      <c r="A30" s="16" t="inlineStr">
        <is>
          <t>自由现金流 FCF</t>
        </is>
      </c>
      <c r="B30" s="17" t="n">
        <v>172.74</v>
      </c>
      <c r="C30" s="17" t="n">
        <v>229.84</v>
      </c>
      <c r="D30" s="17" t="n">
        <v>100.18</v>
      </c>
      <c r="E30" s="17" t="n">
        <v>374.97</v>
      </c>
      <c r="F30" s="17" t="n">
        <v>373.3800000000001</v>
      </c>
      <c r="G30" s="17" t="n">
        <v>173.5444785215995</v>
      </c>
      <c r="H30" s="17" t="n">
        <v>250.1142528133198</v>
      </c>
      <c r="I30" s="17" t="n">
        <v>429.7695046352591</v>
      </c>
      <c r="J30" s="17" t="n">
        <v>596.9072528795671</v>
      </c>
      <c r="K30" s="17" t="n">
        <v>771.1849479122707</v>
      </c>
    </row>
    <row r="31">
      <c r="A31" s="13" t="inlineStr">
        <is>
          <t xml:space="preserve">     FCF margin %</t>
        </is>
      </c>
      <c r="B31" s="18" t="n">
        <v>0.04691089808000434</v>
      </c>
      <c r="C31" s="18" t="n">
        <v>0.05491627800290543</v>
      </c>
      <c r="D31" s="18" t="n">
        <v>0.02420496663300168</v>
      </c>
      <c r="E31" s="18" t="n">
        <v>0.07636085938295489</v>
      </c>
      <c r="F31" s="18" t="n">
        <v>0.06808906395317031</v>
      </c>
      <c r="G31" s="18" t="n">
        <v>0.03137908865023741</v>
      </c>
      <c r="H31" s="18" t="n">
        <v>0.03942215079627463</v>
      </c>
      <c r="I31" s="18" t="n">
        <v>0.0580568204780512</v>
      </c>
      <c r="J31" s="18" t="n">
        <v>0.07076004758347214</v>
      </c>
      <c r="K31" s="18" t="n">
        <v>0.08180480950848196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9" t="inlineStr">
        <is>
          <t>Balance Sheet (Consolidated)</t>
        </is>
      </c>
    </row>
    <row r="2">
      <c r="A2" s="10" t="inlineStr">
        <is>
          <t>Units: CNY mn · Year-end</t>
        </is>
      </c>
    </row>
    <row r="3">
      <c r="A3" s="11" t="inlineStr">
        <is>
          <t>项目 / Line item</t>
        </is>
      </c>
      <c r="B3" s="11" t="inlineStr">
        <is>
          <t>2021A</t>
        </is>
      </c>
      <c r="C3" s="11" t="inlineStr">
        <is>
          <t>2022A</t>
        </is>
      </c>
      <c r="D3" s="11" t="inlineStr">
        <is>
          <t>2023A</t>
        </is>
      </c>
      <c r="E3" s="11" t="inlineStr">
        <is>
          <t>2024A</t>
        </is>
      </c>
      <c r="F3" s="11" t="inlineStr">
        <is>
          <t>2025A</t>
        </is>
      </c>
      <c r="G3" s="11" t="inlineStr">
        <is>
          <t>2026E</t>
        </is>
      </c>
      <c r="H3" s="11" t="inlineStr">
        <is>
          <t>2027E</t>
        </is>
      </c>
      <c r="I3" s="11" t="inlineStr">
        <is>
          <t>2028E</t>
        </is>
      </c>
      <c r="J3" s="11" t="inlineStr">
        <is>
          <t>2029E</t>
        </is>
      </c>
      <c r="K3" s="11" t="inlineStr">
        <is>
          <t>2030E</t>
        </is>
      </c>
    </row>
    <row r="4">
      <c r="A4" s="23" t="inlineStr">
        <is>
          <t>ASSETS — CURRENT</t>
        </is>
      </c>
    </row>
    <row r="5">
      <c r="A5" s="13" t="inlineStr">
        <is>
          <t>货币资金 Cash &amp; equivalents</t>
        </is>
      </c>
      <c r="B5" s="29" t="n">
        <v>809.15</v>
      </c>
      <c r="C5" s="29" t="n">
        <v>440.25</v>
      </c>
      <c r="D5" s="29" t="n">
        <v>477.8</v>
      </c>
      <c r="E5" s="29" t="n">
        <v>621.9299999999999</v>
      </c>
      <c r="F5" s="29" t="n">
        <v>734.54</v>
      </c>
      <c r="G5" s="29" t="n">
        <v>1419.816212740566</v>
      </c>
      <c r="H5" s="29" t="n">
        <v>1594.010626892646</v>
      </c>
      <c r="I5" s="29" t="n">
        <v>1758.241097352066</v>
      </c>
      <c r="J5" s="29" t="n">
        <v>2086.573520142634</v>
      </c>
      <c r="K5" s="29" t="n">
        <v>2535.709050440717</v>
      </c>
    </row>
    <row r="6">
      <c r="A6" s="13" t="inlineStr">
        <is>
          <t>交易性金融资产 Trading FA</t>
        </is>
      </c>
      <c r="B6" s="14" t="n">
        <v>25.73</v>
      </c>
      <c r="C6" s="14" t="n">
        <v>26.91</v>
      </c>
      <c r="D6" s="14" t="n">
        <v>0</v>
      </c>
      <c r="E6" s="14" t="n">
        <v>10.88</v>
      </c>
      <c r="F6" s="14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</row>
    <row r="7">
      <c r="A7" s="13" t="inlineStr">
        <is>
          <t>应收账款 Accounts receivable</t>
        </is>
      </c>
      <c r="B7" s="14" t="n">
        <v>867.38</v>
      </c>
      <c r="C7" s="14" t="n">
        <v>1105.62</v>
      </c>
      <c r="D7" s="14" t="n">
        <v>1226.1</v>
      </c>
      <c r="E7" s="14" t="n">
        <v>1427.1</v>
      </c>
      <c r="F7" s="14" t="n">
        <v>1358.73</v>
      </c>
      <c r="G7" s="15" t="n">
        <v>1394.008550136987</v>
      </c>
      <c r="H7" s="15" t="n">
        <v>1564.399869041096</v>
      </c>
      <c r="I7" s="15" t="n">
        <v>1784.728487339178</v>
      </c>
      <c r="J7" s="15" t="n">
        <v>1987.57866558157</v>
      </c>
      <c r="K7" s="15" t="n">
        <v>2195.360105919202</v>
      </c>
    </row>
    <row r="8">
      <c r="A8" s="13" t="inlineStr">
        <is>
          <t xml:space="preserve">     AR days</t>
        </is>
      </c>
      <c r="B8" s="22" t="n">
        <v>85.977161013497</v>
      </c>
      <c r="C8" s="22" t="n">
        <v>96.42157752886307</v>
      </c>
      <c r="D8" s="22" t="n">
        <v>108.1290077848276</v>
      </c>
      <c r="E8" s="22" t="n">
        <v>106.0770797271154</v>
      </c>
      <c r="F8" s="22" t="n">
        <v>90.43828984080092</v>
      </c>
      <c r="G8" s="22" t="n">
        <v>92</v>
      </c>
      <c r="H8" s="22" t="n">
        <v>90</v>
      </c>
      <c r="I8" s="22" t="n">
        <v>88</v>
      </c>
      <c r="J8" s="22" t="n">
        <v>86</v>
      </c>
      <c r="K8" s="22" t="n">
        <v>85</v>
      </c>
    </row>
    <row r="9">
      <c r="A9" s="13" t="inlineStr">
        <is>
          <t>应收款项融资 Receivables financing</t>
        </is>
      </c>
      <c r="B9" s="14" t="n">
        <v>647.53</v>
      </c>
      <c r="C9" s="14" t="n">
        <v>697.4400000000001</v>
      </c>
      <c r="D9" s="14" t="n">
        <v>829.41</v>
      </c>
      <c r="E9" s="14" t="n">
        <v>817.45</v>
      </c>
      <c r="F9" s="14" t="n">
        <v>1046.09</v>
      </c>
      <c r="G9" s="15" t="n">
        <v>1150.699</v>
      </c>
      <c r="H9" s="15" t="n">
        <v>1265.7689</v>
      </c>
      <c r="I9" s="15" t="n">
        <v>1392.34579</v>
      </c>
      <c r="J9" s="15" t="n">
        <v>1531.580369</v>
      </c>
      <c r="K9" s="15" t="n">
        <v>1684.738405900001</v>
      </c>
    </row>
    <row r="10">
      <c r="A10" s="13" t="inlineStr">
        <is>
          <t>预付款项 Prepayments</t>
        </is>
      </c>
      <c r="B10" s="14" t="n">
        <v>25.68</v>
      </c>
      <c r="C10" s="14" t="n">
        <v>32.42</v>
      </c>
      <c r="D10" s="14" t="n">
        <v>33.21</v>
      </c>
      <c r="E10" s="14" t="n">
        <v>17.02</v>
      </c>
      <c r="F10" s="14" t="n">
        <v>34.87</v>
      </c>
      <c r="G10" s="15" t="n">
        <v>34.87</v>
      </c>
      <c r="H10" s="15" t="n">
        <v>34.87</v>
      </c>
      <c r="I10" s="15" t="n">
        <v>34.87</v>
      </c>
      <c r="J10" s="15" t="n">
        <v>34.87</v>
      </c>
      <c r="K10" s="15" t="n">
        <v>34.87</v>
      </c>
    </row>
    <row r="11">
      <c r="A11" s="13" t="inlineStr">
        <is>
          <t>应收票据 Notes receivable</t>
        </is>
      </c>
      <c r="B11" s="14" t="n">
        <v>0</v>
      </c>
      <c r="C11" s="14" t="n">
        <v>0.4</v>
      </c>
      <c r="D11" s="14" t="n">
        <v>0</v>
      </c>
      <c r="E11" s="14" t="n">
        <v>12.12</v>
      </c>
      <c r="F11" s="14" t="n">
        <v>14.78</v>
      </c>
      <c r="G11" s="15" t="n">
        <v>14.78</v>
      </c>
      <c r="H11" s="15" t="n">
        <v>14.78</v>
      </c>
      <c r="I11" s="15" t="n">
        <v>14.78</v>
      </c>
      <c r="J11" s="15" t="n">
        <v>14.78</v>
      </c>
      <c r="K11" s="15" t="n">
        <v>14.78</v>
      </c>
    </row>
    <row r="12">
      <c r="A12" s="13" t="inlineStr">
        <is>
          <t>其他应收款 Other receivables</t>
        </is>
      </c>
      <c r="B12" s="14" t="n">
        <v>13.3</v>
      </c>
      <c r="C12" s="14" t="n">
        <v>11.31</v>
      </c>
      <c r="D12" s="14" t="n">
        <v>4.02</v>
      </c>
      <c r="E12" s="14" t="n">
        <v>20.71</v>
      </c>
      <c r="F12" s="14" t="n">
        <v>7.43</v>
      </c>
      <c r="G12" s="15" t="n">
        <v>7.43</v>
      </c>
      <c r="H12" s="15" t="n">
        <v>7.43</v>
      </c>
      <c r="I12" s="15" t="n">
        <v>7.43</v>
      </c>
      <c r="J12" s="15" t="n">
        <v>7.43</v>
      </c>
      <c r="K12" s="15" t="n">
        <v>7.43</v>
      </c>
    </row>
    <row r="13">
      <c r="A13" s="13" t="inlineStr">
        <is>
          <t>存货 Inventory</t>
        </is>
      </c>
      <c r="B13" s="14" t="n">
        <v>940.1900000000001</v>
      </c>
      <c r="C13" s="14" t="n">
        <v>957.3099999999999</v>
      </c>
      <c r="D13" s="14" t="n">
        <v>1023.73</v>
      </c>
      <c r="E13" s="14" t="n">
        <v>1017.13</v>
      </c>
      <c r="F13" s="14" t="n">
        <v>1006.63</v>
      </c>
      <c r="G13" s="15" t="n">
        <v>1023.914432342466</v>
      </c>
      <c r="H13" s="15" t="n">
        <v>1111.766840265206</v>
      </c>
      <c r="I13" s="15" t="n">
        <v>1241.197538922246</v>
      </c>
      <c r="J13" s="15" t="n">
        <v>1370.042596461343</v>
      </c>
      <c r="K13" s="15" t="n">
        <v>1531.069965634004</v>
      </c>
    </row>
    <row r="14">
      <c r="A14" s="13" t="inlineStr">
        <is>
          <t xml:space="preserve">     Inventory days (of COGS)</t>
        </is>
      </c>
      <c r="B14" s="22" t="n">
        <v>114.4119029679071</v>
      </c>
      <c r="C14" s="22" t="n">
        <v>100.6443757002831</v>
      </c>
      <c r="D14" s="22" t="n">
        <v>111.3220748499961</v>
      </c>
      <c r="E14" s="22" t="n">
        <v>92.75583577141116</v>
      </c>
      <c r="F14" s="22" t="n">
        <v>84.74958250295246</v>
      </c>
      <c r="G14" s="22" t="n">
        <v>85</v>
      </c>
      <c r="H14" s="22" t="n">
        <v>82</v>
      </c>
      <c r="I14" s="22" t="n">
        <v>80</v>
      </c>
      <c r="J14" s="22" t="n">
        <v>78</v>
      </c>
      <c r="K14" s="22" t="n">
        <v>78</v>
      </c>
    </row>
    <row r="15">
      <c r="A15" s="13" t="inlineStr">
        <is>
          <t>其他流动资产 Other current assets</t>
        </is>
      </c>
      <c r="B15" s="14" t="n">
        <v>30.7</v>
      </c>
      <c r="C15" s="14" t="n">
        <v>39.88</v>
      </c>
      <c r="D15" s="14" t="n">
        <v>39.01</v>
      </c>
      <c r="E15" s="14" t="n">
        <v>16.36</v>
      </c>
      <c r="F15" s="14" t="n">
        <v>70.28</v>
      </c>
      <c r="G15" s="15" t="n">
        <v>70.28</v>
      </c>
      <c r="H15" s="15" t="n">
        <v>70.28</v>
      </c>
      <c r="I15" s="15" t="n">
        <v>70.28</v>
      </c>
      <c r="J15" s="15" t="n">
        <v>70.28</v>
      </c>
      <c r="K15" s="15" t="n">
        <v>70.28</v>
      </c>
    </row>
    <row r="16">
      <c r="A16" s="13" t="inlineStr">
        <is>
          <t>其他 (合同/持有待售) Misc current</t>
        </is>
      </c>
      <c r="B16" s="14" t="n">
        <v>0</v>
      </c>
      <c r="C16" s="14" t="n">
        <v>0</v>
      </c>
      <c r="D16" s="14" t="n">
        <v>0.82</v>
      </c>
      <c r="E16" s="14" t="n">
        <v>0.53</v>
      </c>
      <c r="F16" s="14" t="n">
        <v>4.64</v>
      </c>
      <c r="G16" s="15" t="n">
        <v>4.64</v>
      </c>
      <c r="H16" s="15" t="n">
        <v>4.64</v>
      </c>
      <c r="I16" s="15" t="n">
        <v>4.64</v>
      </c>
      <c r="J16" s="15" t="n">
        <v>4.64</v>
      </c>
      <c r="K16" s="15" t="n">
        <v>4.64</v>
      </c>
    </row>
    <row r="17">
      <c r="A17" s="27" t="inlineStr">
        <is>
          <t>流动资产合计 Total current assets</t>
        </is>
      </c>
      <c r="B17" s="28" t="n">
        <v>3359.66</v>
      </c>
      <c r="C17" s="28" t="n">
        <v>3311.54</v>
      </c>
      <c r="D17" s="28" t="n">
        <v>3634.1</v>
      </c>
      <c r="E17" s="28" t="n">
        <v>3961.23</v>
      </c>
      <c r="F17" s="28" t="n">
        <v>4277.99</v>
      </c>
      <c r="G17" s="28" t="n">
        <v>5120.438195220018</v>
      </c>
      <c r="H17" s="28" t="n">
        <v>5667.946236198948</v>
      </c>
      <c r="I17" s="28" t="n">
        <v>6308.512913613491</v>
      </c>
      <c r="J17" s="28" t="n">
        <v>7107.775151185547</v>
      </c>
      <c r="K17" s="28" t="n">
        <v>8078.877527893924</v>
      </c>
    </row>
    <row r="18">
      <c r="A18" s="23" t="inlineStr">
        <is>
          <t>ASSETS — NON-CURRENT</t>
        </is>
      </c>
    </row>
    <row r="19">
      <c r="A19" s="13" t="inlineStr">
        <is>
          <t>投资性房地产 Investment property</t>
        </is>
      </c>
      <c r="B19" s="14" t="n">
        <v>15</v>
      </c>
      <c r="C19" s="14" t="n">
        <v>24.09</v>
      </c>
      <c r="D19" s="14" t="n">
        <v>45.31</v>
      </c>
      <c r="E19" s="14" t="n">
        <v>40.36</v>
      </c>
      <c r="F19" s="14" t="n">
        <v>38.92</v>
      </c>
      <c r="G19" s="15" t="n">
        <v>38.92</v>
      </c>
      <c r="H19" s="15" t="n">
        <v>38.92</v>
      </c>
      <c r="I19" s="15" t="n">
        <v>38.92</v>
      </c>
      <c r="J19" s="15" t="n">
        <v>38.92</v>
      </c>
      <c r="K19" s="15" t="n">
        <v>38.92</v>
      </c>
    </row>
    <row r="20">
      <c r="A20" s="13" t="inlineStr">
        <is>
          <t>固定资产 PP&amp;E, net</t>
        </is>
      </c>
      <c r="B20" s="14" t="n">
        <v>1860.07</v>
      </c>
      <c r="C20" s="14" t="n">
        <v>1726.12</v>
      </c>
      <c r="D20" s="14" t="n">
        <v>1630.15</v>
      </c>
      <c r="E20" s="14" t="n">
        <v>1673.55</v>
      </c>
      <c r="F20" s="14" t="n">
        <v>1826.74</v>
      </c>
      <c r="G20" s="15" t="n">
        <v>2047.963096</v>
      </c>
      <c r="H20" s="15" t="n">
        <v>2219.26488166</v>
      </c>
      <c r="I20" s="15" t="n">
        <v>2352.5110880443</v>
      </c>
      <c r="J20" s="15" t="n">
        <v>2479.045892626383</v>
      </c>
      <c r="K20" s="15" t="n">
        <v>2573.317238351148</v>
      </c>
    </row>
    <row r="21">
      <c r="A21" s="13" t="inlineStr">
        <is>
          <t>在建工程 CIP</t>
        </is>
      </c>
      <c r="B21" s="14" t="n">
        <v>82.79000000000001</v>
      </c>
      <c r="C21" s="14" t="n">
        <v>96.5</v>
      </c>
      <c r="D21" s="14" t="n">
        <v>95.95</v>
      </c>
      <c r="E21" s="14" t="n">
        <v>91.92</v>
      </c>
      <c r="F21" s="14" t="n">
        <v>163.89</v>
      </c>
      <c r="G21" s="15" t="n">
        <v>163.89</v>
      </c>
      <c r="H21" s="15" t="n">
        <v>163.89</v>
      </c>
      <c r="I21" s="15" t="n">
        <v>163.89</v>
      </c>
      <c r="J21" s="15" t="n">
        <v>163.89</v>
      </c>
      <c r="K21" s="15" t="n">
        <v>163.89</v>
      </c>
    </row>
    <row r="22">
      <c r="A22" s="13" t="inlineStr">
        <is>
          <t>使用权资产 ROU</t>
        </is>
      </c>
      <c r="B22" s="14" t="n">
        <v>29.3</v>
      </c>
      <c r="C22" s="14" t="n">
        <v>24.91</v>
      </c>
      <c r="D22" s="14" t="n">
        <v>73.34</v>
      </c>
      <c r="E22" s="14" t="n">
        <v>11.74</v>
      </c>
      <c r="F22" s="14" t="n">
        <v>19.41</v>
      </c>
      <c r="G22" s="15" t="n">
        <v>19.41</v>
      </c>
      <c r="H22" s="15" t="n">
        <v>19.41</v>
      </c>
      <c r="I22" s="15" t="n">
        <v>19.41</v>
      </c>
      <c r="J22" s="15" t="n">
        <v>19.41</v>
      </c>
      <c r="K22" s="15" t="n">
        <v>19.41</v>
      </c>
    </row>
    <row r="23">
      <c r="A23" s="13" t="inlineStr">
        <is>
          <t>无形资产 Intangibles</t>
        </is>
      </c>
      <c r="B23" s="14" t="n">
        <v>426.08</v>
      </c>
      <c r="C23" s="14" t="n">
        <v>425.6</v>
      </c>
      <c r="D23" s="14" t="n">
        <v>392.15</v>
      </c>
      <c r="E23" s="14" t="n">
        <v>391.07</v>
      </c>
      <c r="F23" s="14" t="n">
        <v>452.77</v>
      </c>
      <c r="G23" s="15" t="n">
        <v>452.77</v>
      </c>
      <c r="H23" s="15" t="n">
        <v>452.77</v>
      </c>
      <c r="I23" s="15" t="n">
        <v>452.77</v>
      </c>
      <c r="J23" s="15" t="n">
        <v>452.77</v>
      </c>
      <c r="K23" s="15" t="n">
        <v>452.77</v>
      </c>
    </row>
    <row r="24">
      <c r="A24" s="13" t="inlineStr">
        <is>
          <t>商誉 Goodwill</t>
        </is>
      </c>
      <c r="B24" s="14" t="n">
        <v>0</v>
      </c>
      <c r="C24" s="14" t="n">
        <v>0</v>
      </c>
      <c r="D24" s="14" t="n">
        <v>0</v>
      </c>
      <c r="E24" s="14" t="n">
        <v>0</v>
      </c>
      <c r="F24" s="14" t="n">
        <v>115.31</v>
      </c>
      <c r="G24" s="15" t="n">
        <v>115.31</v>
      </c>
      <c r="H24" s="15" t="n">
        <v>115.31</v>
      </c>
      <c r="I24" s="15" t="n">
        <v>115.31</v>
      </c>
      <c r="J24" s="15" t="n">
        <v>115.31</v>
      </c>
      <c r="K24" s="15" t="n">
        <v>115.31</v>
      </c>
    </row>
    <row r="25">
      <c r="A25" s="13" t="inlineStr">
        <is>
          <t>长期待摊费用 LT prepaid exp</t>
        </is>
      </c>
      <c r="B25" s="14" t="n">
        <v>50.91</v>
      </c>
      <c r="C25" s="14" t="n">
        <v>43.07</v>
      </c>
      <c r="D25" s="14" t="n">
        <v>31.83</v>
      </c>
      <c r="E25" s="14" t="n">
        <v>23.29</v>
      </c>
      <c r="F25" s="14" t="n">
        <v>31.75</v>
      </c>
      <c r="G25" s="15" t="n">
        <v>31.75</v>
      </c>
      <c r="H25" s="15" t="n">
        <v>31.75</v>
      </c>
      <c r="I25" s="15" t="n">
        <v>31.75</v>
      </c>
      <c r="J25" s="15" t="n">
        <v>31.75</v>
      </c>
      <c r="K25" s="15" t="n">
        <v>31.75</v>
      </c>
    </row>
    <row r="26">
      <c r="A26" s="13" t="inlineStr">
        <is>
          <t>递延所得税资产 DTA</t>
        </is>
      </c>
      <c r="B26" s="14" t="n">
        <v>34.43</v>
      </c>
      <c r="C26" s="14" t="n">
        <v>36.52</v>
      </c>
      <c r="D26" s="14" t="n">
        <v>34.31</v>
      </c>
      <c r="E26" s="14" t="n">
        <v>49.13</v>
      </c>
      <c r="F26" s="14" t="n">
        <v>51.79</v>
      </c>
      <c r="G26" s="15" t="n">
        <v>51.79</v>
      </c>
      <c r="H26" s="15" t="n">
        <v>51.79</v>
      </c>
      <c r="I26" s="15" t="n">
        <v>51.79</v>
      </c>
      <c r="J26" s="15" t="n">
        <v>51.79</v>
      </c>
      <c r="K26" s="15" t="n">
        <v>51.79</v>
      </c>
    </row>
    <row r="27">
      <c r="A27" s="13" t="inlineStr">
        <is>
          <t>其他非流动资产 Other non-current</t>
        </is>
      </c>
      <c r="B27" s="14" t="n">
        <v>28.49</v>
      </c>
      <c r="C27" s="14" t="n">
        <v>5.88</v>
      </c>
      <c r="D27" s="14" t="n">
        <v>17.56</v>
      </c>
      <c r="E27" s="14" t="n">
        <v>28.38</v>
      </c>
      <c r="F27" s="14" t="n">
        <v>44.28</v>
      </c>
      <c r="G27" s="15" t="n">
        <v>44.28</v>
      </c>
      <c r="H27" s="15" t="n">
        <v>44.28</v>
      </c>
      <c r="I27" s="15" t="n">
        <v>44.28</v>
      </c>
      <c r="J27" s="15" t="n">
        <v>44.28</v>
      </c>
      <c r="K27" s="15" t="n">
        <v>44.28</v>
      </c>
    </row>
    <row r="28">
      <c r="A28" s="27" t="inlineStr">
        <is>
          <t>非流动资产合计 Total non-current assets</t>
        </is>
      </c>
      <c r="B28" s="28" t="n">
        <v>2527.069999999999</v>
      </c>
      <c r="C28" s="28" t="n">
        <v>2382.69</v>
      </c>
      <c r="D28" s="28" t="n">
        <v>2320.6</v>
      </c>
      <c r="E28" s="28" t="n">
        <v>2309.44</v>
      </c>
      <c r="F28" s="28" t="n">
        <v>2744.86</v>
      </c>
      <c r="G28" s="28" t="n">
        <v>2966.083096</v>
      </c>
      <c r="H28" s="28" t="n">
        <v>3137.38488166</v>
      </c>
      <c r="I28" s="28" t="n">
        <v>3270.6310880443</v>
      </c>
      <c r="J28" s="28" t="n">
        <v>3397.165892626383</v>
      </c>
      <c r="K28" s="28" t="n">
        <v>3491.437238351148</v>
      </c>
    </row>
    <row r="29">
      <c r="A29" s="16" t="inlineStr">
        <is>
          <t>资产总计 TOTAL ASSETS</t>
        </is>
      </c>
      <c r="B29" s="17" t="n">
        <v>5886.73</v>
      </c>
      <c r="C29" s="17" t="n">
        <v>5694.23</v>
      </c>
      <c r="D29" s="17" t="n">
        <v>5954.700000000001</v>
      </c>
      <c r="E29" s="17" t="n">
        <v>6270.67</v>
      </c>
      <c r="F29" s="17" t="n">
        <v>7022.85</v>
      </c>
      <c r="G29" s="17" t="n">
        <v>8086.521291220019</v>
      </c>
      <c r="H29" s="17" t="n">
        <v>8805.331117858948</v>
      </c>
      <c r="I29" s="17" t="n">
        <v>9579.144001657791</v>
      </c>
      <c r="J29" s="17" t="n">
        <v>10504.94104381193</v>
      </c>
      <c r="K29" s="17" t="n">
        <v>11570.31476624507</v>
      </c>
    </row>
    <row r="30">
      <c r="A30" s="23" t="inlineStr">
        <is>
          <t>LIABILITIES — CURRENT</t>
        </is>
      </c>
    </row>
    <row r="31">
      <c r="A31" s="13" t="inlineStr">
        <is>
          <t>短期借款 Short-term debt</t>
        </is>
      </c>
      <c r="B31" s="14" t="n">
        <v>1101.62</v>
      </c>
      <c r="C31" s="14" t="n">
        <v>956.42</v>
      </c>
      <c r="D31" s="14" t="n">
        <v>833.11</v>
      </c>
      <c r="E31" s="14" t="n">
        <v>693.4400000000001</v>
      </c>
      <c r="F31" s="14" t="n">
        <v>565.39</v>
      </c>
      <c r="G31" s="15" t="n">
        <v>605.39</v>
      </c>
      <c r="H31" s="15" t="n">
        <v>555.39</v>
      </c>
      <c r="I31" s="15" t="n">
        <v>505.39</v>
      </c>
      <c r="J31" s="15" t="n">
        <v>480.39</v>
      </c>
      <c r="K31" s="15" t="n">
        <v>455.39</v>
      </c>
    </row>
    <row r="32">
      <c r="A32" s="13" t="inlineStr">
        <is>
          <t>应付票据 Notes payable</t>
        </is>
      </c>
      <c r="B32" s="14" t="n">
        <v>709.67</v>
      </c>
      <c r="C32" s="14" t="n">
        <v>738.4400000000001</v>
      </c>
      <c r="D32" s="14" t="n">
        <v>891.46</v>
      </c>
      <c r="E32" s="14" t="n">
        <v>671.27</v>
      </c>
      <c r="F32" s="14" t="n">
        <v>692.75</v>
      </c>
      <c r="G32" s="15" t="n">
        <v>692.75</v>
      </c>
      <c r="H32" s="15" t="n">
        <v>706.605</v>
      </c>
      <c r="I32" s="15" t="n">
        <v>720.46</v>
      </c>
      <c r="J32" s="15" t="n">
        <v>734.3150000000001</v>
      </c>
      <c r="K32" s="15" t="n">
        <v>748.1700000000001</v>
      </c>
    </row>
    <row r="33">
      <c r="A33" s="13" t="inlineStr">
        <is>
          <t>应付账款 Accounts payable</t>
        </is>
      </c>
      <c r="B33" s="14" t="n">
        <v>928.29</v>
      </c>
      <c r="C33" s="14" t="n">
        <v>1126.76</v>
      </c>
      <c r="D33" s="14" t="n">
        <v>1166.89</v>
      </c>
      <c r="E33" s="14" t="n">
        <v>1602.35</v>
      </c>
      <c r="F33" s="14" t="n">
        <v>1615.01</v>
      </c>
      <c r="G33" s="15" t="n">
        <v>1626.21703960274</v>
      </c>
      <c r="H33" s="15" t="n">
        <v>1789.673450183014</v>
      </c>
      <c r="I33" s="15" t="n">
        <v>2016.94600074865</v>
      </c>
      <c r="J33" s="15" t="n">
        <v>2248.275030090408</v>
      </c>
      <c r="K33" s="15" t="n">
        <v>2512.525071809647</v>
      </c>
    </row>
    <row r="34">
      <c r="A34" s="13" t="inlineStr">
        <is>
          <t xml:space="preserve">     AP days (of COGS)</t>
        </is>
      </c>
      <c r="B34" s="22" t="n">
        <v>112.9637896660021</v>
      </c>
      <c r="C34" s="22" t="n">
        <v>118.4590746613438</v>
      </c>
      <c r="D34" s="22" t="n">
        <v>126.8895274356637</v>
      </c>
      <c r="E34" s="22" t="n">
        <v>146.1242058029167</v>
      </c>
      <c r="F34" s="22" t="n">
        <v>135.969942519191</v>
      </c>
      <c r="G34" s="22" t="n">
        <v>135</v>
      </c>
      <c r="H34" s="22" t="n">
        <v>132</v>
      </c>
      <c r="I34" s="22" t="n">
        <v>130</v>
      </c>
      <c r="J34" s="22" t="n">
        <v>128</v>
      </c>
      <c r="K34" s="22" t="n">
        <v>128</v>
      </c>
    </row>
    <row r="35">
      <c r="A35" s="13" t="inlineStr">
        <is>
          <t>合同负债 Contract liabilities</t>
        </is>
      </c>
      <c r="B35" s="14" t="n">
        <v>6.74</v>
      </c>
      <c r="C35" s="14" t="n">
        <v>28.81</v>
      </c>
      <c r="D35" s="14" t="n">
        <v>55.04</v>
      </c>
      <c r="E35" s="14" t="n">
        <v>37.9</v>
      </c>
      <c r="F35" s="14" t="n">
        <v>49.31</v>
      </c>
      <c r="G35" s="15" t="n">
        <v>49.31</v>
      </c>
      <c r="H35" s="15" t="n">
        <v>51.77550000000001</v>
      </c>
      <c r="I35" s="15" t="n">
        <v>54.24100000000001</v>
      </c>
      <c r="J35" s="15" t="n">
        <v>56.7065</v>
      </c>
      <c r="K35" s="15" t="n">
        <v>59.172</v>
      </c>
    </row>
    <row r="36">
      <c r="A36" s="13" t="inlineStr">
        <is>
          <t>应付职工薪酬 Salary payable</t>
        </is>
      </c>
      <c r="B36" s="14" t="n">
        <v>66.95999999999999</v>
      </c>
      <c r="C36" s="14" t="n">
        <v>70.15000000000001</v>
      </c>
      <c r="D36" s="14" t="n">
        <v>77.66</v>
      </c>
      <c r="E36" s="14" t="n">
        <v>81.86</v>
      </c>
      <c r="F36" s="14" t="n">
        <v>98.09999999999999</v>
      </c>
      <c r="G36" s="15" t="n">
        <v>98.09999999999999</v>
      </c>
      <c r="H36" s="15" t="n">
        <v>101.043</v>
      </c>
      <c r="I36" s="15" t="n">
        <v>103.986</v>
      </c>
      <c r="J36" s="15" t="n">
        <v>106.929</v>
      </c>
      <c r="K36" s="15" t="n">
        <v>109.872</v>
      </c>
    </row>
    <row r="37">
      <c r="A37" s="13" t="inlineStr">
        <is>
          <t>应交税费 Taxes payable</t>
        </is>
      </c>
      <c r="B37" s="14" t="n">
        <v>20.29</v>
      </c>
      <c r="C37" s="14" t="n">
        <v>41.23</v>
      </c>
      <c r="D37" s="14" t="n">
        <v>28.45</v>
      </c>
      <c r="E37" s="14" t="n">
        <v>30.92</v>
      </c>
      <c r="F37" s="14" t="n">
        <v>31.43</v>
      </c>
      <c r="G37" s="15" t="n">
        <v>31.43</v>
      </c>
      <c r="H37" s="15" t="n">
        <v>31.43</v>
      </c>
      <c r="I37" s="15" t="n">
        <v>31.43</v>
      </c>
      <c r="J37" s="15" t="n">
        <v>31.43</v>
      </c>
      <c r="K37" s="15" t="n">
        <v>31.43</v>
      </c>
    </row>
    <row r="38">
      <c r="A38" s="13" t="inlineStr">
        <is>
          <t>其他应付款 Other payables</t>
        </is>
      </c>
      <c r="B38" s="14" t="n">
        <v>57.44</v>
      </c>
      <c r="C38" s="14" t="n">
        <v>53.26</v>
      </c>
      <c r="D38" s="14" t="n">
        <v>54.81</v>
      </c>
      <c r="E38" s="14" t="n">
        <v>89.08</v>
      </c>
      <c r="F38" s="14" t="n">
        <v>272.99</v>
      </c>
      <c r="G38" s="15" t="n">
        <v>163.794</v>
      </c>
      <c r="H38" s="15" t="n">
        <v>286.6395</v>
      </c>
      <c r="I38" s="15" t="n">
        <v>300.971475</v>
      </c>
      <c r="J38" s="15" t="n">
        <v>316.0200487500001</v>
      </c>
      <c r="K38" s="15" t="n">
        <v>331.8210511875001</v>
      </c>
    </row>
    <row r="39">
      <c r="A39" s="13" t="inlineStr">
        <is>
          <t>一年内到期非流动负债 Current portion LT debt</t>
        </is>
      </c>
      <c r="B39" s="14" t="n">
        <v>110.01</v>
      </c>
      <c r="C39" s="14" t="n">
        <v>144.86</v>
      </c>
      <c r="D39" s="14" t="n">
        <v>192.42</v>
      </c>
      <c r="E39" s="14" t="n">
        <v>76.76000000000001</v>
      </c>
      <c r="F39" s="14" t="n">
        <v>239.87</v>
      </c>
      <c r="G39" s="15" t="n">
        <v>191.896</v>
      </c>
      <c r="H39" s="15" t="n">
        <v>239.87</v>
      </c>
      <c r="I39" s="15" t="n">
        <v>239.87</v>
      </c>
      <c r="J39" s="15" t="n">
        <v>239.87</v>
      </c>
      <c r="K39" s="15" t="n">
        <v>239.87</v>
      </c>
    </row>
    <row r="40">
      <c r="A40" s="13" t="inlineStr">
        <is>
          <t>其他流动负债 Other current liab</t>
        </is>
      </c>
      <c r="B40" s="14" t="n">
        <v>0.32</v>
      </c>
      <c r="C40" s="14" t="n">
        <v>2.36</v>
      </c>
      <c r="D40" s="14" t="n">
        <v>4.4</v>
      </c>
      <c r="E40" s="14" t="n">
        <v>1.21</v>
      </c>
      <c r="F40" s="14" t="n">
        <v>0.77</v>
      </c>
      <c r="G40" s="15" t="n">
        <v>0.77</v>
      </c>
      <c r="H40" s="15" t="n">
        <v>0.77</v>
      </c>
      <c r="I40" s="15" t="n">
        <v>0.77</v>
      </c>
      <c r="J40" s="15" t="n">
        <v>0.77</v>
      </c>
      <c r="K40" s="15" t="n">
        <v>0.77</v>
      </c>
    </row>
    <row r="41">
      <c r="A41" s="27" t="inlineStr">
        <is>
          <t>流动负债合计 Total current liab</t>
        </is>
      </c>
      <c r="B41" s="28" t="n">
        <v>3001.34</v>
      </c>
      <c r="C41" s="28" t="n">
        <v>3162.29</v>
      </c>
      <c r="D41" s="28" t="n">
        <v>3304.24</v>
      </c>
      <c r="E41" s="28" t="n">
        <v>3284.79</v>
      </c>
      <c r="F41" s="28" t="n">
        <v>3565.619999999999</v>
      </c>
      <c r="G41" s="28" t="n">
        <v>3459.65703960274</v>
      </c>
      <c r="H41" s="28" t="n">
        <v>3763.196450183014</v>
      </c>
      <c r="I41" s="28" t="n">
        <v>3974.064475748649</v>
      </c>
      <c r="J41" s="28" t="n">
        <v>4214.705578840409</v>
      </c>
      <c r="K41" s="28" t="n">
        <v>4489.020122997147</v>
      </c>
    </row>
    <row r="42">
      <c r="A42" s="23" t="inlineStr">
        <is>
          <t>LIABILITIES — NON-CURRENT</t>
        </is>
      </c>
    </row>
    <row r="43">
      <c r="A43" s="13" t="inlineStr">
        <is>
          <t>长期借款 Long-term debt</t>
        </is>
      </c>
      <c r="B43" s="14" t="n">
        <v>297.15</v>
      </c>
      <c r="C43" s="14" t="n">
        <v>161.21</v>
      </c>
      <c r="D43" s="14" t="n">
        <v>134.65</v>
      </c>
      <c r="E43" s="14" t="n">
        <v>100.09</v>
      </c>
      <c r="F43" s="14" t="n">
        <v>0</v>
      </c>
      <c r="G43" s="15" t="n">
        <v>50</v>
      </c>
      <c r="H43" s="15" t="n">
        <v>50</v>
      </c>
      <c r="I43" s="15" t="n">
        <v>50</v>
      </c>
      <c r="J43" s="15" t="n">
        <v>50</v>
      </c>
      <c r="K43" s="15" t="n">
        <v>50</v>
      </c>
    </row>
    <row r="44">
      <c r="A44" s="13" t="inlineStr">
        <is>
          <t>租赁负债 Lease liabilities</t>
        </is>
      </c>
      <c r="B44" s="14" t="n">
        <v>16.83</v>
      </c>
      <c r="C44" s="14" t="n">
        <v>14.81</v>
      </c>
      <c r="D44" s="14" t="n">
        <v>65.45</v>
      </c>
      <c r="E44" s="14" t="n">
        <v>4.47</v>
      </c>
      <c r="F44" s="14" t="n">
        <v>10.31</v>
      </c>
      <c r="G44" s="15" t="n">
        <v>10.31</v>
      </c>
      <c r="H44" s="15" t="n">
        <v>10.31</v>
      </c>
      <c r="I44" s="15" t="n">
        <v>10.31</v>
      </c>
      <c r="J44" s="15" t="n">
        <v>10.31</v>
      </c>
      <c r="K44" s="15" t="n">
        <v>10.31</v>
      </c>
    </row>
    <row r="45">
      <c r="A45" s="13" t="inlineStr">
        <is>
          <t>预计负债 Provisions</t>
        </is>
      </c>
      <c r="B45" s="14" t="n">
        <v>24.4</v>
      </c>
      <c r="C45" s="14" t="n">
        <v>31.88</v>
      </c>
      <c r="D45" s="14" t="n">
        <v>58.69</v>
      </c>
      <c r="E45" s="14" t="n">
        <v>71.45</v>
      </c>
      <c r="F45" s="14" t="n">
        <v>16.37</v>
      </c>
      <c r="G45" s="15" t="n">
        <v>16.37</v>
      </c>
      <c r="H45" s="15" t="n">
        <v>16.37</v>
      </c>
      <c r="I45" s="15" t="n">
        <v>16.37</v>
      </c>
      <c r="J45" s="15" t="n">
        <v>16.37</v>
      </c>
      <c r="K45" s="15" t="n">
        <v>16.37</v>
      </c>
    </row>
    <row r="46">
      <c r="A46" s="13" t="inlineStr">
        <is>
          <t>递延收益 Deferred income</t>
        </is>
      </c>
      <c r="B46" s="14" t="n">
        <v>200.77</v>
      </c>
      <c r="C46" s="14" t="n">
        <v>174.67</v>
      </c>
      <c r="D46" s="14" t="n">
        <v>158.21</v>
      </c>
      <c r="E46" s="14" t="n">
        <v>135.52</v>
      </c>
      <c r="F46" s="14" t="n">
        <v>150.38</v>
      </c>
      <c r="G46" s="15" t="n">
        <v>150.38</v>
      </c>
      <c r="H46" s="15" t="n">
        <v>150.38</v>
      </c>
      <c r="I46" s="15" t="n">
        <v>150.38</v>
      </c>
      <c r="J46" s="15" t="n">
        <v>150.38</v>
      </c>
      <c r="K46" s="15" t="n">
        <v>150.38</v>
      </c>
    </row>
    <row r="47">
      <c r="A47" s="13" t="inlineStr">
        <is>
          <t>递延所得税负债 DTL</t>
        </is>
      </c>
      <c r="B47" s="14" t="n">
        <v>27.39</v>
      </c>
      <c r="C47" s="14" t="n">
        <v>31.91</v>
      </c>
      <c r="D47" s="14" t="n">
        <v>28.18</v>
      </c>
      <c r="E47" s="14" t="n">
        <v>30.42</v>
      </c>
      <c r="F47" s="14" t="n">
        <v>33.54</v>
      </c>
      <c r="G47" s="15" t="n">
        <v>33.54</v>
      </c>
      <c r="H47" s="15" t="n">
        <v>33.54</v>
      </c>
      <c r="I47" s="15" t="n">
        <v>33.54</v>
      </c>
      <c r="J47" s="15" t="n">
        <v>33.54</v>
      </c>
      <c r="K47" s="15" t="n">
        <v>33.54</v>
      </c>
    </row>
    <row r="48">
      <c r="A48" s="13" t="inlineStr">
        <is>
          <t>其他非流动负债 Other non-current liab</t>
        </is>
      </c>
      <c r="B48" s="14" t="n">
        <v>7</v>
      </c>
      <c r="C48" s="14" t="n">
        <v>1.21</v>
      </c>
      <c r="D48" s="14" t="n">
        <v>1.22</v>
      </c>
      <c r="E48" s="14" t="n">
        <v>1.19</v>
      </c>
      <c r="F48" s="14" t="n">
        <v>20.4</v>
      </c>
      <c r="G48" s="15" t="n">
        <v>20.4</v>
      </c>
      <c r="H48" s="15" t="n">
        <v>20.4</v>
      </c>
      <c r="I48" s="15" t="n">
        <v>20.4</v>
      </c>
      <c r="J48" s="15" t="n">
        <v>20.4</v>
      </c>
      <c r="K48" s="15" t="n">
        <v>20.4</v>
      </c>
    </row>
    <row r="49">
      <c r="A49" s="27" t="inlineStr">
        <is>
          <t>非流动负债合计 Total non-current liab</t>
        </is>
      </c>
      <c r="B49" s="28" t="n">
        <v>573.54</v>
      </c>
      <c r="C49" s="28" t="n">
        <v>415.69</v>
      </c>
      <c r="D49" s="28" t="n">
        <v>446.4</v>
      </c>
      <c r="E49" s="28" t="n">
        <v>343.14</v>
      </c>
      <c r="F49" s="28" t="n">
        <v>231</v>
      </c>
      <c r="G49" s="28" t="n">
        <v>281</v>
      </c>
      <c r="H49" s="28" t="n">
        <v>281</v>
      </c>
      <c r="I49" s="28" t="n">
        <v>281</v>
      </c>
      <c r="J49" s="28" t="n">
        <v>281</v>
      </c>
      <c r="K49" s="28" t="n">
        <v>281</v>
      </c>
    </row>
    <row r="50">
      <c r="A50" s="16" t="inlineStr">
        <is>
          <t>负债合计 TOTAL LIABILITIES</t>
        </is>
      </c>
      <c r="B50" s="17" t="n">
        <v>3574.88</v>
      </c>
      <c r="C50" s="17" t="n">
        <v>3577.98</v>
      </c>
      <c r="D50" s="17" t="n">
        <v>3750.64</v>
      </c>
      <c r="E50" s="17" t="n">
        <v>3627.93</v>
      </c>
      <c r="F50" s="17" t="n">
        <v>3796.619999999999</v>
      </c>
      <c r="G50" s="17" t="n">
        <v>3740.65703960274</v>
      </c>
      <c r="H50" s="17" t="n">
        <v>4044.196450183014</v>
      </c>
      <c r="I50" s="17" t="n">
        <v>4255.06447574865</v>
      </c>
      <c r="J50" s="17" t="n">
        <v>4495.705578840409</v>
      </c>
      <c r="K50" s="17" t="n">
        <v>4770.020122997147</v>
      </c>
    </row>
    <row r="51">
      <c r="A51" s="23" t="inlineStr">
        <is>
          <t>EQUITY</t>
        </is>
      </c>
    </row>
    <row r="52">
      <c r="A52" s="13" t="inlineStr">
        <is>
          <t>股本 Share capital</t>
        </is>
      </c>
      <c r="B52" s="14" t="n">
        <v>402.15</v>
      </c>
      <c r="C52" s="14" t="n">
        <v>402.15</v>
      </c>
      <c r="D52" s="14" t="n">
        <v>402.15</v>
      </c>
      <c r="E52" s="14" t="n">
        <v>400.77</v>
      </c>
      <c r="F52" s="14" t="n">
        <v>571.98</v>
      </c>
      <c r="G52" s="15" t="n">
        <v>571.98</v>
      </c>
      <c r="H52" s="15" t="n">
        <v>571.98</v>
      </c>
      <c r="I52" s="15" t="n">
        <v>571.98</v>
      </c>
      <c r="J52" s="15" t="n">
        <v>571.98</v>
      </c>
      <c r="K52" s="15" t="n">
        <v>571.98</v>
      </c>
    </row>
    <row r="53">
      <c r="A53" s="13" t="inlineStr">
        <is>
          <t>资本公积 Capital reserve</t>
        </is>
      </c>
      <c r="B53" s="14" t="n">
        <v>1449.95</v>
      </c>
      <c r="C53" s="14" t="n">
        <v>1459.36</v>
      </c>
      <c r="D53" s="14" t="n">
        <v>1463.43</v>
      </c>
      <c r="E53" s="14" t="n">
        <v>1482.17</v>
      </c>
      <c r="F53" s="14" t="n">
        <v>1433.11</v>
      </c>
      <c r="G53" s="15" t="n">
        <v>2233.11</v>
      </c>
      <c r="H53" s="15" t="n">
        <v>2233.11</v>
      </c>
      <c r="I53" s="15" t="n">
        <v>2233.11</v>
      </c>
      <c r="J53" s="15" t="n">
        <v>2233.11</v>
      </c>
      <c r="K53" s="15" t="n">
        <v>2233.11</v>
      </c>
    </row>
    <row r="54">
      <c r="A54" s="13" t="inlineStr">
        <is>
          <t>减：库存股 Treasury stock</t>
        </is>
      </c>
      <c r="B54" s="14" t="n">
        <v>0</v>
      </c>
      <c r="C54" s="14" t="n">
        <v>0</v>
      </c>
      <c r="D54" s="14" t="n">
        <v>0</v>
      </c>
      <c r="E54" s="14" t="n">
        <v>30.02</v>
      </c>
      <c r="F54" s="14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</row>
    <row r="55">
      <c r="A55" s="13" t="inlineStr">
        <is>
          <t>其他综合收益 OCI</t>
        </is>
      </c>
      <c r="B55" s="14" t="n">
        <v>-0.21</v>
      </c>
      <c r="C55" s="14" t="n">
        <v>0.18</v>
      </c>
      <c r="D55" s="14" t="n">
        <v>4.79</v>
      </c>
      <c r="E55" s="14" t="n">
        <v>5.99</v>
      </c>
      <c r="F55" s="14" t="n">
        <v>13.7</v>
      </c>
      <c r="G55" s="15" t="n">
        <v>13.7</v>
      </c>
      <c r="H55" s="15" t="n">
        <v>13.7</v>
      </c>
      <c r="I55" s="15" t="n">
        <v>13.7</v>
      </c>
      <c r="J55" s="15" t="n">
        <v>13.7</v>
      </c>
      <c r="K55" s="15" t="n">
        <v>13.7</v>
      </c>
    </row>
    <row r="56">
      <c r="A56" s="13" t="inlineStr">
        <is>
          <t>专项储备 Special reserve</t>
        </is>
      </c>
      <c r="B56" s="14" t="n">
        <v>0</v>
      </c>
      <c r="C56" s="14" t="n">
        <v>0</v>
      </c>
      <c r="D56" s="14" t="n">
        <v>0</v>
      </c>
      <c r="E56" s="14" t="n">
        <v>0.9</v>
      </c>
      <c r="F56" s="14" t="n">
        <v>1.02</v>
      </c>
      <c r="G56" s="15" t="n">
        <v>1.02</v>
      </c>
      <c r="H56" s="15" t="n">
        <v>1.02</v>
      </c>
      <c r="I56" s="15" t="n">
        <v>1.02</v>
      </c>
      <c r="J56" s="15" t="n">
        <v>1.02</v>
      </c>
      <c r="K56" s="15" t="n">
        <v>1.02</v>
      </c>
    </row>
    <row r="57">
      <c r="A57" s="13" t="inlineStr">
        <is>
          <t>盈余公积 Statutory reserve</t>
        </is>
      </c>
      <c r="B57" s="14" t="n">
        <v>133.17</v>
      </c>
      <c r="C57" s="14" t="n">
        <v>140.49</v>
      </c>
      <c r="D57" s="14" t="n">
        <v>148.16</v>
      </c>
      <c r="E57" s="14" t="n">
        <v>161.37</v>
      </c>
      <c r="F57" s="14" t="n">
        <v>183.28</v>
      </c>
      <c r="G57" s="15" t="n">
        <v>203.25276572608</v>
      </c>
      <c r="H57" s="15" t="n">
        <v>229.207166729746</v>
      </c>
      <c r="I57" s="15" t="n">
        <v>265.2933755908489</v>
      </c>
      <c r="J57" s="15" t="n">
        <v>309.2136280948476</v>
      </c>
      <c r="K57" s="15" t="n">
        <v>359.9225497792326</v>
      </c>
    </row>
    <row r="58">
      <c r="A58" s="13" t="inlineStr">
        <is>
          <t>未分配利润 Retained earnings</t>
        </is>
      </c>
      <c r="B58" s="14" t="n">
        <v>318.47</v>
      </c>
      <c r="C58" s="14" t="n">
        <v>105.79</v>
      </c>
      <c r="D58" s="14" t="n">
        <v>177.35</v>
      </c>
      <c r="E58" s="14" t="n">
        <v>621.48</v>
      </c>
      <c r="F58" s="14" t="n">
        <v>1023.21</v>
      </c>
      <c r="G58" s="15" t="n">
        <v>1322.8014858912</v>
      </c>
      <c r="H58" s="15" t="n">
        <v>1712.11750094619</v>
      </c>
      <c r="I58" s="15" t="n">
        <v>2238.976150318292</v>
      </c>
      <c r="J58" s="15" t="n">
        <v>2880.211836876674</v>
      </c>
      <c r="K58" s="15" t="n">
        <v>3620.562093468693</v>
      </c>
    </row>
    <row r="59">
      <c r="A59" s="27" t="inlineStr">
        <is>
          <t>归属母公司所有者权益 Equity to parent</t>
        </is>
      </c>
      <c r="B59" s="28" t="n">
        <v>2303.53</v>
      </c>
      <c r="C59" s="28" t="n">
        <v>2107.97</v>
      </c>
      <c r="D59" s="28" t="n">
        <v>2195.88</v>
      </c>
      <c r="E59" s="28" t="n">
        <v>2642.66</v>
      </c>
      <c r="F59" s="28" t="n">
        <v>3226.3</v>
      </c>
      <c r="G59" s="28" t="n">
        <v>4345.864251617279</v>
      </c>
      <c r="H59" s="28" t="n">
        <v>4761.134667675935</v>
      </c>
      <c r="I59" s="28" t="n">
        <v>5324.079525909141</v>
      </c>
      <c r="J59" s="28" t="n">
        <v>6009.235464971521</v>
      </c>
      <c r="K59" s="28" t="n">
        <v>6800.294643247926</v>
      </c>
    </row>
    <row r="60">
      <c r="A60" s="13" t="inlineStr">
        <is>
          <t>少数股东权益 Minority interest</t>
        </is>
      </c>
      <c r="B60" s="14" t="n">
        <v>8.300000000000001</v>
      </c>
      <c r="C60" s="14" t="n">
        <v>8.199999999999999</v>
      </c>
      <c r="D60" s="14" t="n">
        <v>8.050000000000001</v>
      </c>
      <c r="E60" s="14" t="n">
        <v>0</v>
      </c>
      <c r="F60" s="14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</row>
    <row r="61">
      <c r="A61" s="16" t="inlineStr">
        <is>
          <t>所有者权益合计 TOTAL EQUITY</t>
        </is>
      </c>
      <c r="B61" s="17" t="n">
        <v>2311.83</v>
      </c>
      <c r="C61" s="17" t="n">
        <v>2116.17</v>
      </c>
      <c r="D61" s="17" t="n">
        <v>2203.93</v>
      </c>
      <c r="E61" s="17" t="n">
        <v>2642.66</v>
      </c>
      <c r="F61" s="17" t="n">
        <v>3226.3</v>
      </c>
      <c r="G61" s="17" t="n">
        <v>4345.864251617279</v>
      </c>
      <c r="H61" s="17" t="n">
        <v>4761.134667675935</v>
      </c>
      <c r="I61" s="17" t="n">
        <v>5324.079525909141</v>
      </c>
      <c r="J61" s="17" t="n">
        <v>6009.235464971521</v>
      </c>
      <c r="K61" s="17" t="n">
        <v>6800.294643247926</v>
      </c>
    </row>
    <row r="62">
      <c r="A62" s="16" t="inlineStr">
        <is>
          <t>负债 + 权益总计 TOTAL LIAB + EQUITY</t>
        </is>
      </c>
      <c r="B62" s="17" t="n">
        <v>5886.71</v>
      </c>
      <c r="C62" s="17" t="n">
        <v>5694.15</v>
      </c>
      <c r="D62" s="17" t="n">
        <v>5954.57</v>
      </c>
      <c r="E62" s="17" t="n">
        <v>6270.59</v>
      </c>
      <c r="F62" s="17" t="n">
        <v>7022.92</v>
      </c>
      <c r="G62" s="17" t="n">
        <v>8086.521291220019</v>
      </c>
      <c r="H62" s="17" t="n">
        <v>8805.331117858948</v>
      </c>
      <c r="I62" s="17" t="n">
        <v>9579.144001657791</v>
      </c>
      <c r="J62" s="17" t="n">
        <v>10504.94104381193</v>
      </c>
      <c r="K62" s="17" t="n">
        <v>11570.31476624507</v>
      </c>
    </row>
    <row r="63">
      <c r="A63" s="7" t="inlineStr">
        <is>
          <t>BALANCE CHECK (Assets − Liab − Equity ≈ 0)</t>
        </is>
      </c>
    </row>
    <row r="64">
      <c r="A64" s="13" t="inlineStr">
        <is>
          <t xml:space="preserve">     Diff (should be 0)</t>
        </is>
      </c>
      <c r="B64" s="15" t="n">
        <v>0.01999999999952706</v>
      </c>
      <c r="C64" s="15" t="n">
        <v>0.08000000000083674</v>
      </c>
      <c r="D64" s="15" t="n">
        <v>0.1300000000010186</v>
      </c>
      <c r="E64" s="15" t="n">
        <v>0.07999999999992724</v>
      </c>
      <c r="F64" s="15" t="n">
        <v>-0.06999999999970896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</row>
    <row r="65">
      <c r="A65" s="13" t="inlineStr">
        <is>
          <t xml:space="preserve">     Balance status</t>
        </is>
      </c>
      <c r="B65" s="21" t="inlineStr">
        <is>
          <t>OK</t>
        </is>
      </c>
      <c r="C65" s="21" t="inlineStr">
        <is>
          <t>OK</t>
        </is>
      </c>
      <c r="D65" s="21" t="inlineStr">
        <is>
          <t>OK</t>
        </is>
      </c>
      <c r="E65" s="21" t="inlineStr">
        <is>
          <t>OK</t>
        </is>
      </c>
      <c r="F65" s="21" t="inlineStr">
        <is>
          <t>OK</t>
        </is>
      </c>
      <c r="G65" s="22" t="inlineStr">
        <is>
          <t>OK</t>
        </is>
      </c>
      <c r="H65" s="22" t="inlineStr">
        <is>
          <t>OK</t>
        </is>
      </c>
      <c r="I65" s="22" t="inlineStr">
        <is>
          <t>OK</t>
        </is>
      </c>
      <c r="J65" s="22" t="inlineStr">
        <is>
          <t>OK</t>
        </is>
      </c>
      <c r="K65" s="22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  <col width="20" customWidth="1" min="3" max="3"/>
    <col width="20" customWidth="1" min="4" max="4"/>
  </cols>
  <sheetData>
    <row r="1">
      <c r="A1" s="9" t="inlineStr">
        <is>
          <t>Scenarios — Bull / Base / Bear (5-year horizon)</t>
        </is>
      </c>
    </row>
    <row r="2">
      <c r="A2" s="10" t="inlineStr">
        <is>
          <t>All RMB mn unless noted · 2030E terminal year</t>
        </is>
      </c>
    </row>
    <row r="4">
      <c r="A4" s="31" t="inlineStr">
        <is>
          <t>Assumption</t>
        </is>
      </c>
      <c r="B4" s="32" t="inlineStr">
        <is>
          <t>Bull</t>
        </is>
      </c>
      <c r="C4" s="32" t="inlineStr">
        <is>
          <t>Base</t>
        </is>
      </c>
      <c r="D4" s="32" t="inlineStr">
        <is>
          <t>Bear</t>
        </is>
      </c>
    </row>
    <row r="5">
      <c r="A5" s="13" t="inlineStr">
        <is>
          <t>Revenue CAGR 2025–2030</t>
        </is>
      </c>
      <c r="B5" s="33" t="inlineStr">
        <is>
          <t>20.0%</t>
        </is>
      </c>
      <c r="C5" s="33" t="inlineStr">
        <is>
          <t>13.5%</t>
        </is>
      </c>
      <c r="D5" s="33" t="inlineStr">
        <is>
          <t>5.0%</t>
        </is>
      </c>
    </row>
    <row r="6">
      <c r="A6" s="13" t="inlineStr">
        <is>
          <t>Transmission/Drive growth (5-yr avg)</t>
        </is>
      </c>
      <c r="B6" s="33" t="inlineStr">
        <is>
          <t>28%</t>
        </is>
      </c>
      <c r="C6" s="33" t="inlineStr">
        <is>
          <t>16%</t>
        </is>
      </c>
      <c r="D6" s="33" t="inlineStr">
        <is>
          <t>5%</t>
        </is>
      </c>
    </row>
    <row r="7">
      <c r="A7" s="13" t="inlineStr">
        <is>
          <t>Interior/Exterior growth (5-yr avg)</t>
        </is>
      </c>
      <c r="B7" s="33" t="inlineStr">
        <is>
          <t>5%</t>
        </is>
      </c>
      <c r="C7" s="33" t="inlineStr">
        <is>
          <t>2%</t>
        </is>
      </c>
      <c r="D7" s="33" t="inlineStr">
        <is>
          <t>−2%</t>
        </is>
      </c>
    </row>
    <row r="8">
      <c r="A8" s="13" t="inlineStr">
        <is>
          <t>Gross margin 2030E</t>
        </is>
      </c>
      <c r="B8" s="33" t="inlineStr">
        <is>
          <t>26.5%</t>
        </is>
      </c>
      <c r="C8" s="33" t="inlineStr">
        <is>
          <t>24.0%</t>
        </is>
      </c>
      <c r="D8" s="33" t="inlineStr">
        <is>
          <t>20.5%</t>
        </is>
      </c>
    </row>
    <row r="9">
      <c r="A9" s="13" t="inlineStr">
        <is>
          <t>EBIT margin 2030E</t>
        </is>
      </c>
      <c r="B9" s="33" t="inlineStr">
        <is>
          <t>15.0%</t>
        </is>
      </c>
      <c r="C9" s="33" t="inlineStr">
        <is>
          <t>11.5%</t>
        </is>
      </c>
      <c r="D9" s="33" t="inlineStr">
        <is>
          <t>7.0%</t>
        </is>
      </c>
    </row>
    <row r="10">
      <c r="A10" s="13" t="inlineStr">
        <is>
          <t>CapEx % of revenue (2026–28)</t>
        </is>
      </c>
      <c r="B10" s="33" t="inlineStr">
        <is>
          <t>10.5%</t>
        </is>
      </c>
      <c r="C10" s="33" t="inlineStr">
        <is>
          <t>8.5%</t>
        </is>
      </c>
      <c r="D10" s="33" t="inlineStr">
        <is>
          <t>7.0%</t>
        </is>
      </c>
    </row>
    <row r="11">
      <c r="A11" s="13" t="inlineStr">
        <is>
          <t>Roller-screw ramp (sets, 2030E)</t>
        </is>
      </c>
      <c r="B11" s="33" t="inlineStr">
        <is>
          <t>350k</t>
        </is>
      </c>
      <c r="C11" s="33" t="inlineStr">
        <is>
          <t>200k</t>
        </is>
      </c>
      <c r="D11" s="33" t="inlineStr">
        <is>
          <t>60k</t>
        </is>
      </c>
    </row>
    <row r="12">
      <c r="A12" s="13" t="inlineStr">
        <is>
          <t>Overseas mix 2030E (%)</t>
        </is>
      </c>
      <c r="B12" s="33" t="inlineStr">
        <is>
          <t>20%</t>
        </is>
      </c>
      <c r="C12" s="33" t="inlineStr">
        <is>
          <t>13%</t>
        </is>
      </c>
      <c r="D12" s="33" t="inlineStr">
        <is>
          <t>9%</t>
        </is>
      </c>
    </row>
    <row r="13">
      <c r="A13" s="13" t="inlineStr">
        <is>
          <t>Effective tax rate</t>
        </is>
      </c>
      <c r="B13" s="33" t="inlineStr">
        <is>
          <t>13%</t>
        </is>
      </c>
      <c r="C13" s="33" t="inlineStr">
        <is>
          <t>13%</t>
        </is>
      </c>
      <c r="D13" s="33" t="inlineStr">
        <is>
          <t>15%</t>
        </is>
      </c>
    </row>
    <row r="14">
      <c r="A14" s="13" t="inlineStr">
        <is>
          <t>HKEX IPO success (CNY mn raised)</t>
        </is>
      </c>
      <c r="B14" s="33" t="inlineStr">
        <is>
          <t>1,500</t>
        </is>
      </c>
      <c r="C14" s="33" t="inlineStr">
        <is>
          <t>800</t>
        </is>
      </c>
      <c r="D14" s="33" t="inlineStr">
        <is>
          <t>0</t>
        </is>
      </c>
    </row>
    <row r="17">
      <c r="A17" s="31" t="inlineStr">
        <is>
          <t>2030E Output (CNY mn)</t>
        </is>
      </c>
      <c r="B17" s="32" t="inlineStr">
        <is>
          <t>Bull</t>
        </is>
      </c>
      <c r="C17" s="32" t="inlineStr">
        <is>
          <t>Base</t>
        </is>
      </c>
      <c r="D17" s="32" t="inlineStr">
        <is>
          <t>Bear</t>
        </is>
      </c>
    </row>
    <row r="18">
      <c r="A18" s="24" t="inlineStr">
        <is>
          <t>2030E Revenue</t>
        </is>
      </c>
      <c r="B18" s="15" t="n">
        <v>12726.63167284338</v>
      </c>
      <c r="C18" s="15" t="n">
        <v>9427.134572476574</v>
      </c>
      <c r="D18" s="15" t="n">
        <v>6598.994200733601</v>
      </c>
    </row>
    <row r="19">
      <c r="A19" s="24" t="inlineStr">
        <is>
          <t>2030E EBITDA</t>
        </is>
      </c>
      <c r="B19" s="15" t="n">
        <v>2491.780210197008</v>
      </c>
      <c r="C19" s="15" t="n">
        <v>1557.36263137313</v>
      </c>
      <c r="D19" s="15" t="n">
        <v>856.5494472552217</v>
      </c>
    </row>
    <row r="20">
      <c r="A20" s="24" t="inlineStr">
        <is>
          <t>2030E EBIT</t>
        </is>
      </c>
      <c r="B20" s="15" t="n">
        <v>1961.409619149476</v>
      </c>
      <c r="C20" s="15" t="n">
        <v>1180.277248474067</v>
      </c>
      <c r="D20" s="15" t="n">
        <v>283.5682079400954</v>
      </c>
    </row>
    <row r="21">
      <c r="A21" s="24" t="inlineStr">
        <is>
          <t>2030E Net income to parent</t>
        </is>
      </c>
      <c r="B21" s="15" t="n">
        <v>1673.394415584701</v>
      </c>
      <c r="C21" s="15" t="n">
        <v>1014.178433687698</v>
      </c>
      <c r="D21" s="15" t="n">
        <v>507.0892168438489</v>
      </c>
    </row>
    <row r="22">
      <c r="A22" s="24" t="inlineStr">
        <is>
          <t>2030E EPS (¥)</t>
        </is>
      </c>
      <c r="B22" s="34" t="n">
        <v>2.925514712560666</v>
      </c>
      <c r="C22" s="34" t="n">
        <v>1.773039219733737</v>
      </c>
      <c r="D22" s="34" t="n">
        <v>0.8865196098668686</v>
      </c>
    </row>
    <row r="23">
      <c r="A23" s="24" t="inlineStr">
        <is>
          <t>2030E FCF</t>
        </is>
      </c>
      <c r="B23" s="15" t="n">
        <v>1388.132906242087</v>
      </c>
      <c r="C23" s="15" t="n">
        <v>771.1849479122707</v>
      </c>
      <c r="D23" s="15" t="n">
        <v>308.4739791649083</v>
      </c>
    </row>
    <row r="24">
      <c r="A24" s="24" t="inlineStr">
        <is>
          <t>Cumulative FCF 2026–2030E</t>
        </is>
      </c>
      <c r="B24" s="15" t="n">
        <v>3332.280655143024</v>
      </c>
      <c r="C24" s="15" t="n">
        <v>2221.520436762016</v>
      </c>
      <c r="D24" s="15" t="n">
        <v>888.6081747048065</v>
      </c>
    </row>
    <row r="26">
      <c r="A26" s="4" t="inlineStr">
        <is>
          <t>Scenario Rationale</t>
        </is>
      </c>
    </row>
    <row r="27" ht="70" customHeight="1">
      <c r="A27" s="4" t="inlineStr">
        <is>
          <t>Bull case</t>
        </is>
      </c>
      <c r="B27" s="35" t="inlineStr">
        <is>
          <t>Roller-screw量产 line (Jun 2026) ramps to 200k+ sets by 2028, securing 2-3 large humanoid-robot wins; Thailand bearings/e-drive secures a NEV major OEM volume contract; smart-corner-module mining trucks scale to 1500+ units/yr; HKEX IPO raises ¥1.5bn for capacity; gross margin expands +6pp to 26.5%. Tesla and BYD HDM penetration both rise to &gt;40 mn units.</t>
        </is>
      </c>
    </row>
    <row r="28" ht="70" customHeight="1">
      <c r="A28" s="4" t="inlineStr">
        <is>
          <t>Base case</t>
        </is>
      </c>
      <c r="B28" s="35" t="inlineStr">
        <is>
          <t>Q1 2026 weakness contained; revenue −3% in 2026, then +18%/+20%/+18%/+15% as humanoid sets reach 200k and bearings/e-drive Thailand contributes 8-12% of overseas revenue. GM expands to 24% as mix shifts toward transmission/intelligent segment (60% → 70% of revenue).</t>
        </is>
      </c>
    </row>
    <row r="29" ht="70" customHeight="1">
      <c r="A29" s="4" t="inlineStr">
        <is>
          <t>Bear case</t>
        </is>
      </c>
      <c r="B29" s="35" t="inlineStr">
        <is>
          <t>Roller-screw量产 delayed &gt;12 months due to yield issues at the in-house screw-grinder; humanoid robot industry adoption slower than expected; HDM share lost to local competitors as NEV pricing pressure intensifies; Thailand bearings disappoints; HKEX IPO not consummated. Revenue grows only 5% CAGR; GM compresses to ~20% on volume deleverage; impairment risk on intangibles.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9" t="inlineStr">
        <is>
          <t>DCF Inputs (for Task 3 Valuation)</t>
        </is>
      </c>
    </row>
    <row r="2">
      <c r="A2" s="10" t="inlineStr">
        <is>
          <t>Unlevered FCF build · Base case · CNY mn</t>
        </is>
      </c>
    </row>
    <row r="3">
      <c r="A3" s="11" t="inlineStr">
        <is>
          <t>项目 / Line item</t>
        </is>
      </c>
      <c r="B3" s="11" t="inlineStr">
        <is>
          <t>2026E</t>
        </is>
      </c>
      <c r="C3" s="11" t="inlineStr">
        <is>
          <t>2027E</t>
        </is>
      </c>
      <c r="D3" s="11" t="inlineStr">
        <is>
          <t>2028E</t>
        </is>
      </c>
      <c r="E3" s="11" t="inlineStr">
        <is>
          <t>2029E</t>
        </is>
      </c>
      <c r="F3" s="11" t="inlineStr">
        <is>
          <t>2030E</t>
        </is>
      </c>
      <c r="G3" s="11" t="inlineStr">
        <is>
          <t>Terminal year</t>
        </is>
      </c>
    </row>
    <row r="4">
      <c r="A4" s="24" t="inlineStr">
        <is>
          <t>EBIT (营业利润)</t>
        </is>
      </c>
      <c r="B4" s="36" t="n">
        <v>460.1440396799995</v>
      </c>
      <c r="C4" s="36" t="n">
        <v>597.6528966359999</v>
      </c>
      <c r="D4" s="36" t="n">
        <v>830.5680197954697</v>
      </c>
      <c r="E4" s="36" t="n">
        <v>1022.401221023226</v>
      </c>
      <c r="F4" s="36" t="n">
        <v>1180.277248474067</v>
      </c>
      <c r="G4" s="37" t="n">
        <v>1215.685565928289</v>
      </c>
    </row>
    <row r="5">
      <c r="A5" s="38" t="inlineStr">
        <is>
          <t>× (1 − tax rate)</t>
        </is>
      </c>
      <c r="B5" s="39" t="n">
        <v>0.87</v>
      </c>
      <c r="C5" s="39" t="n">
        <v>0.87</v>
      </c>
      <c r="D5" s="39" t="n">
        <v>0.87</v>
      </c>
      <c r="E5" s="39" t="n">
        <v>0.86</v>
      </c>
      <c r="F5" s="39" t="n">
        <v>0.86</v>
      </c>
      <c r="G5" s="40" t="n">
        <v>0.86</v>
      </c>
    </row>
    <row r="6">
      <c r="A6" s="24">
        <f> NOPAT</f>
        <v/>
      </c>
      <c r="B6" s="41" t="n">
        <v>400.3253145215995</v>
      </c>
      <c r="C6" s="41" t="n">
        <v>519.95802007332</v>
      </c>
      <c r="D6" s="41" t="n">
        <v>722.5941772220586</v>
      </c>
      <c r="E6" s="41" t="n">
        <v>879.2650500799745</v>
      </c>
      <c r="F6" s="41" t="n">
        <v>1015.038433687698</v>
      </c>
      <c r="G6" s="41" t="n">
        <v>1045.489586698329</v>
      </c>
    </row>
    <row r="7">
      <c r="A7" s="13" t="inlineStr">
        <is>
          <t>+ D&amp;A</t>
        </is>
      </c>
      <c r="B7" s="36" t="n">
        <v>248.875983</v>
      </c>
      <c r="C7" s="36" t="n">
        <v>272.81395494</v>
      </c>
      <c r="D7" s="36" t="n">
        <v>310.9078148967</v>
      </c>
      <c r="E7" s="36" t="n">
        <v>337.42614555222</v>
      </c>
      <c r="F7" s="36" t="n">
        <v>377.0853828990629</v>
      </c>
      <c r="G7" s="37" t="n">
        <v>388.3979443860349</v>
      </c>
    </row>
    <row r="8">
      <c r="A8" s="13" t="inlineStr">
        <is>
          <t>− CapEx</t>
        </is>
      </c>
      <c r="B8" s="36" t="n">
        <v>-470.099079</v>
      </c>
      <c r="C8" s="36" t="n">
        <v>-444.1157406000001</v>
      </c>
      <c r="D8" s="36" t="n">
        <v>-444.1540212809999</v>
      </c>
      <c r="E8" s="36" t="n">
        <v>-463.9609501343024</v>
      </c>
      <c r="F8" s="36" t="n">
        <v>-471.3567286238288</v>
      </c>
      <c r="G8" s="37" t="n">
        <v>-400.6532193302544</v>
      </c>
    </row>
    <row r="9">
      <c r="A9" s="13" t="inlineStr">
        <is>
          <t>− ΔNWC</t>
        </is>
      </c>
      <c r="B9" s="36" t="n">
        <v>-4.687740000000031</v>
      </c>
      <c r="C9" s="36" t="n">
        <v>-97.67198160000011</v>
      </c>
      <c r="D9" s="36" t="n">
        <v>-158.7084662024997</v>
      </c>
      <c r="E9" s="36" t="n">
        <v>-154.962992618325</v>
      </c>
      <c r="F9" s="36" t="n">
        <v>-148.7221400506612</v>
      </c>
      <c r="G9" s="37" t="n">
        <v>-42.42210557614458</v>
      </c>
    </row>
    <row r="10">
      <c r="A10" s="42">
        <f> UNLEVERED FREE CASH FLOW (UFCF)</f>
        <v/>
      </c>
      <c r="B10" s="43" t="n">
        <v>174.4144785215994</v>
      </c>
      <c r="C10" s="43" t="n">
        <v>250.9842528133198</v>
      </c>
      <c r="D10" s="43" t="n">
        <v>430.639504635259</v>
      </c>
      <c r="E10" s="43" t="n">
        <v>597.7672528795669</v>
      </c>
      <c r="F10" s="43" t="n">
        <v>772.0449479122708</v>
      </c>
      <c r="G10" s="43" t="n">
        <v>990.8122061779645</v>
      </c>
    </row>
    <row r="12">
      <c r="A12" s="4" t="inlineStr">
        <is>
          <t>Terminal-year metrics (for Gordon growth)</t>
        </is>
      </c>
    </row>
    <row r="13">
      <c r="A13" s="13" t="inlineStr">
        <is>
          <t xml:space="preserve">  • 2030E Revenue</t>
        </is>
      </c>
      <c r="B13" s="44" t="n">
        <v>9427.134572476574</v>
      </c>
    </row>
    <row r="14">
      <c r="A14" s="13" t="inlineStr">
        <is>
          <t xml:space="preserve">  • 2030E EBITDA</t>
        </is>
      </c>
      <c r="B14" s="44" t="n">
        <v>1557.36263137313</v>
      </c>
    </row>
    <row r="15">
      <c r="A15" s="13" t="inlineStr">
        <is>
          <t xml:space="preserve">  • 2030E EBIT</t>
        </is>
      </c>
      <c r="B15" s="44" t="n">
        <v>1180.277248474067</v>
      </c>
    </row>
    <row r="16">
      <c r="A16" s="13" t="inlineStr">
        <is>
          <t xml:space="preserve">  • 2030E NOPAT</t>
        </is>
      </c>
      <c r="B16" s="44" t="n">
        <v>1015.038433687698</v>
      </c>
    </row>
    <row r="17">
      <c r="A17" s="13" t="inlineStr">
        <is>
          <t xml:space="preserve">  • 2030E Unlevered FCF</t>
        </is>
      </c>
      <c r="B17" s="44" t="n">
        <v>772.0449479122708</v>
      </c>
    </row>
    <row r="18">
      <c r="A18" s="13" t="inlineStr">
        <is>
          <t xml:space="preserve">  • Terminal-year (2031E) UFCF (Gordon)</t>
        </is>
      </c>
      <c r="B18" s="44" t="n">
        <v>990.8122061779645</v>
      </c>
    </row>
    <row r="20">
      <c r="A20" s="4" t="inlineStr">
        <is>
          <t>Suggested valuation parameters (for Task 3)</t>
        </is>
      </c>
    </row>
    <row r="21">
      <c r="A21" t="inlineStr">
        <is>
          <t xml:space="preserve">  • Risk-free rate (Rf, 10Y CGB)</t>
        </is>
      </c>
      <c r="B21" s="45" t="inlineStr">
        <is>
          <t>1.75%</t>
        </is>
      </c>
    </row>
    <row r="22">
      <c r="A22" t="inlineStr">
        <is>
          <t xml:space="preserve">  • Equity risk premium (ERP)</t>
        </is>
      </c>
      <c r="B22" s="45" t="inlineStr">
        <is>
          <t>6.5%</t>
        </is>
      </c>
    </row>
    <row r="23">
      <c r="A23" t="inlineStr">
        <is>
          <t xml:space="preserve">  • Beta (5Y, levered, A-share)</t>
        </is>
      </c>
      <c r="B23" s="45" t="inlineStr">
        <is>
          <t>1.20</t>
        </is>
      </c>
    </row>
    <row r="24">
      <c r="A24" t="inlineStr">
        <is>
          <t xml:space="preserve">  • Cost of equity (CAPM)</t>
        </is>
      </c>
      <c r="B24" s="45" t="inlineStr">
        <is>
          <t>9.55%</t>
        </is>
      </c>
    </row>
    <row r="25">
      <c r="A25" t="inlineStr">
        <is>
          <t xml:space="preserve">  • Pre-tax cost of debt</t>
        </is>
      </c>
      <c r="B25" s="45" t="inlineStr">
        <is>
          <t>3.5%</t>
        </is>
      </c>
    </row>
    <row r="26">
      <c r="A26" t="inlineStr">
        <is>
          <t xml:space="preserve">  • After-tax cost of debt</t>
        </is>
      </c>
      <c r="B26" s="45" t="inlineStr">
        <is>
          <t>3.0%</t>
        </is>
      </c>
    </row>
    <row r="27">
      <c r="A27" t="inlineStr">
        <is>
          <t xml:space="preserve">  • Target capital structure (D/V)</t>
        </is>
      </c>
      <c r="B27" s="45" t="inlineStr">
        <is>
          <t>20%</t>
        </is>
      </c>
    </row>
    <row r="28">
      <c r="A28" t="inlineStr">
        <is>
          <t xml:space="preserve">  • WACC (Base case)</t>
        </is>
      </c>
      <c r="B28" s="45" t="inlineStr">
        <is>
          <t>8.2%</t>
        </is>
      </c>
    </row>
    <row r="29">
      <c r="A29" t="inlineStr">
        <is>
          <t xml:space="preserve">  • Terminal growth rate</t>
        </is>
      </c>
      <c r="B29" s="45" t="inlineStr">
        <is>
          <t>2.5%</t>
        </is>
      </c>
    </row>
    <row r="30">
      <c r="A30" t="inlineStr">
        <is>
          <t xml:space="preserve">  • Net debt (Q1 2026)</t>
        </is>
      </c>
      <c r="B30" s="45" t="inlineStr">
        <is>
          <t>≈ ¥600 mn</t>
        </is>
      </c>
    </row>
    <row r="31">
      <c r="A31" t="inlineStr">
        <is>
          <t xml:space="preserve">  • Diluted shares outstanding</t>
        </is>
      </c>
      <c r="B31" s="45" t="inlineStr">
        <is>
          <t>584 mn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DCF Valuation — Base Case</t>
        </is>
      </c>
    </row>
    <row r="2">
      <c r="A2" s="10" t="inlineStr">
        <is>
          <t>As of 2026-05-18 · Discount rate (WACC) = 9.67% · Terminal growth = 2.5% · CNY mn</t>
        </is>
      </c>
    </row>
    <row r="4">
      <c r="A4" s="31" t="inlineStr">
        <is>
          <t>WACC Build</t>
        </is>
      </c>
      <c r="B4" s="31" t="inlineStr">
        <is>
          <t>Component</t>
        </is>
      </c>
      <c r="C4" s="31" t="inlineStr">
        <is>
          <t>Value</t>
        </is>
      </c>
      <c r="D4" s="31" t="inlineStr">
        <is>
          <t>Note</t>
        </is>
      </c>
    </row>
    <row r="5">
      <c r="A5" s="13" t="inlineStr">
        <is>
          <t>Risk-free rate (Rf, 10Y CGB)</t>
        </is>
      </c>
      <c r="B5" s="46" t="inlineStr">
        <is>
          <t>1.75%</t>
        </is>
      </c>
      <c r="C5" s="8" t="inlineStr">
        <is>
          <t>PBOC 10Y constant-maturity, May 2026</t>
        </is>
      </c>
    </row>
    <row r="6">
      <c r="A6" s="13" t="inlineStr">
        <is>
          <t>Equity risk premium (ERP)</t>
        </is>
      </c>
      <c r="B6" s="46" t="inlineStr">
        <is>
          <t>6.5%</t>
        </is>
      </c>
      <c r="C6" s="8" t="inlineStr">
        <is>
          <t>Damodaran A-share historical</t>
        </is>
      </c>
    </row>
    <row r="7">
      <c r="A7" s="13" t="inlineStr">
        <is>
          <t>Beta (levered)</t>
        </is>
      </c>
      <c r="B7" s="46" t="inlineStr">
        <is>
          <t>1.30</t>
        </is>
      </c>
      <c r="C7" s="8" t="inlineStr">
        <is>
          <t>5Y vs. CSI 300; auto-parts ~1.0–1.4 range</t>
        </is>
      </c>
    </row>
    <row r="8">
      <c r="A8" s="13" t="inlineStr">
        <is>
          <t>Cost of equity (CAPM)</t>
        </is>
      </c>
      <c r="B8" s="46" t="inlineStr">
        <is>
          <t>10.20%</t>
        </is>
      </c>
      <c r="C8" s="8" t="inlineStr">
        <is>
          <t>Rf + β × ERP</t>
        </is>
      </c>
    </row>
    <row r="9">
      <c r="A9" s="13" t="inlineStr">
        <is>
          <t>Pre-tax cost of debt</t>
        </is>
      </c>
      <c r="B9" s="46" t="inlineStr">
        <is>
          <t>3.50%</t>
        </is>
      </c>
      <c r="C9" s="8" t="inlineStr">
        <is>
          <t>PBOC 5Y LPR-spread, mid-tier corp</t>
        </is>
      </c>
    </row>
    <row r="10">
      <c r="A10" s="13" t="inlineStr">
        <is>
          <t>After-tax cost of debt</t>
        </is>
      </c>
      <c r="B10" s="46" t="inlineStr">
        <is>
          <t>3.04%</t>
        </is>
      </c>
      <c r="C10" s="8" t="inlineStr">
        <is>
          <t>× (1 – 13% effective tax)</t>
        </is>
      </c>
    </row>
    <row r="11">
      <c r="A11" s="13" t="inlineStr">
        <is>
          <t>Market value of equity (mn)</t>
        </is>
      </c>
      <c r="B11" s="46" t="inlineStr">
        <is>
          <t>¥17,520</t>
        </is>
      </c>
      <c r="C11" s="8" t="inlineStr">
        <is>
          <t>584m diluted × ¥30.00</t>
        </is>
      </c>
    </row>
    <row r="12">
      <c r="A12" s="13" t="inlineStr">
        <is>
          <t>Market value of debt (mn)</t>
        </is>
      </c>
      <c r="B12" s="46" t="inlineStr">
        <is>
          <t>¥1,400</t>
        </is>
      </c>
      <c r="C12" s="8" t="inlineStr">
        <is>
          <t>Gross debt incl. lease + current portion</t>
        </is>
      </c>
    </row>
    <row r="13">
      <c r="A13" s="13" t="inlineStr">
        <is>
          <t>Weight of equity</t>
        </is>
      </c>
      <c r="B13" s="46" t="inlineStr">
        <is>
          <t>92.6%</t>
        </is>
      </c>
      <c r="C13" s="8" t="inlineStr"/>
    </row>
    <row r="14">
      <c r="A14" s="13" t="inlineStr">
        <is>
          <t>Weight of debt</t>
        </is>
      </c>
      <c r="B14" s="46" t="inlineStr">
        <is>
          <t>7.4%</t>
        </is>
      </c>
      <c r="C14" s="8" t="inlineStr"/>
    </row>
    <row r="15">
      <c r="A15" s="13" t="inlineStr">
        <is>
          <t>WACC</t>
        </is>
      </c>
      <c r="B15" s="47" t="inlineStr">
        <is>
          <t>9.67%</t>
        </is>
      </c>
      <c r="C15" s="8">
        <f> W_E × COE + W_D × COD_AT</f>
        <v/>
      </c>
    </row>
    <row r="16">
      <c r="A16" s="13" t="inlineStr">
        <is>
          <t>Terminal growth (g)</t>
        </is>
      </c>
      <c r="B16" s="46" t="inlineStr">
        <is>
          <t>2.5%</t>
        </is>
      </c>
      <c r="C16" s="8" t="inlineStr">
        <is>
          <t>Long-run China GDP-trend (real + inflation)</t>
        </is>
      </c>
    </row>
    <row r="18">
      <c r="A18" s="31" t="inlineStr">
        <is>
          <t>DCF — Base case (CNY mn)</t>
        </is>
      </c>
      <c r="B18" s="32" t="inlineStr">
        <is>
          <t>Year</t>
        </is>
      </c>
      <c r="C18" s="32" t="inlineStr">
        <is>
          <t>UFCF</t>
        </is>
      </c>
      <c r="D18" s="32" t="inlineStr">
        <is>
          <t>Discount factor</t>
        </is>
      </c>
      <c r="E18" s="32" t="inlineStr">
        <is>
          <t>PV of UFCF</t>
        </is>
      </c>
    </row>
    <row r="19">
      <c r="A19" s="13" t="inlineStr">
        <is>
          <t>2026E</t>
        </is>
      </c>
      <c r="B19" s="48" t="n">
        <v>174</v>
      </c>
      <c r="C19" s="49" t="n">
        <v>0.9118217301769137</v>
      </c>
      <c r="D19" s="48" t="n">
        <v>158.656981050783</v>
      </c>
    </row>
    <row r="20">
      <c r="A20" s="13" t="inlineStr">
        <is>
          <t>2027E</t>
        </is>
      </c>
      <c r="B20" s="48" t="n">
        <v>251</v>
      </c>
      <c r="C20" s="49" t="n">
        <v>0.8314188676228204</v>
      </c>
      <c r="D20" s="48" t="n">
        <v>208.6861357733279</v>
      </c>
    </row>
    <row r="21">
      <c r="A21" s="13" t="inlineStr">
        <is>
          <t>2028E</t>
        </is>
      </c>
      <c r="B21" s="48" t="n">
        <v>431</v>
      </c>
      <c r="C21" s="49" t="n">
        <v>0.7581057903775704</v>
      </c>
      <c r="D21" s="48" t="n">
        <v>326.7435956527328</v>
      </c>
    </row>
    <row r="22">
      <c r="A22" s="13" t="inlineStr">
        <is>
          <t>2029E</t>
        </is>
      </c>
      <c r="B22" s="48" t="n">
        <v>598</v>
      </c>
      <c r="C22" s="49" t="n">
        <v>0.6912573334392128</v>
      </c>
      <c r="D22" s="48" t="n">
        <v>413.3718853966492</v>
      </c>
    </row>
    <row r="23">
      <c r="A23" s="13" t="inlineStr">
        <is>
          <t>2030E</t>
        </is>
      </c>
      <c r="B23" s="48" t="n">
        <v>772</v>
      </c>
      <c r="C23" s="49" t="n">
        <v>0.6303034577740227</v>
      </c>
      <c r="D23" s="48" t="n">
        <v>486.5942694015455</v>
      </c>
    </row>
    <row r="24">
      <c r="A24" s="50" t="inlineStr">
        <is>
          <t>Terminal value (Gordon)</t>
        </is>
      </c>
      <c r="B24" s="51" t="n">
        <v>13820.39847567942</v>
      </c>
      <c r="C24" s="49" t="n">
        <v>0.6303034577740227</v>
      </c>
      <c r="D24" s="51" t="n">
        <v>8711.044947035571</v>
      </c>
    </row>
    <row r="25">
      <c r="A25" s="10" t="inlineStr">
        <is>
          <t xml:space="preserve">  TV formula: UFCF_2031 / (WACC – g) = ¥991 / (9.67% – 2.5%) = ¥13,820m</t>
        </is>
      </c>
    </row>
    <row r="27">
      <c r="A27" s="31" t="inlineStr">
        <is>
          <t>Bridge to equity value</t>
        </is>
      </c>
    </row>
    <row r="28">
      <c r="A28" s="13" t="inlineStr">
        <is>
          <t>PV of explicit UFCF (2026E–2030E)</t>
        </is>
      </c>
      <c r="B28" s="52" t="n">
        <v>1594.052867275039</v>
      </c>
    </row>
    <row r="29">
      <c r="A29" s="13" t="inlineStr">
        <is>
          <t>PV of terminal value</t>
        </is>
      </c>
      <c r="B29" s="52" t="n">
        <v>8711.044947035571</v>
      </c>
    </row>
    <row r="30">
      <c r="A30" s="13" t="inlineStr">
        <is>
          <t>Enterprise Value (EV)</t>
        </is>
      </c>
      <c r="B30" s="53" t="n">
        <v>10305.09781431061</v>
      </c>
    </row>
    <row r="31">
      <c r="A31" s="13" t="inlineStr">
        <is>
          <t>Less: Net debt (Q1 2026)</t>
        </is>
      </c>
      <c r="B31" s="52" t="n">
        <v>-600</v>
      </c>
    </row>
    <row r="32">
      <c r="A32" s="13" t="inlineStr">
        <is>
          <t>Less: Minority interest</t>
        </is>
      </c>
      <c r="B32" s="52" t="n">
        <v>0</v>
      </c>
    </row>
    <row r="33">
      <c r="A33" s="13" t="inlineStr">
        <is>
          <t>Plus: Non-operating assets / investments</t>
        </is>
      </c>
      <c r="B33" s="52" t="n">
        <v>0</v>
      </c>
    </row>
    <row r="34">
      <c r="A34" s="13" t="inlineStr">
        <is>
          <t>Equity Value</t>
        </is>
      </c>
      <c r="B34" s="53" t="n">
        <v>9705.097814310609</v>
      </c>
    </row>
    <row r="35">
      <c r="A35" s="13" t="inlineStr">
        <is>
          <t>Diluted shares outstanding (mn)</t>
        </is>
      </c>
      <c r="B35" s="52" t="n">
        <v>584</v>
      </c>
    </row>
    <row r="36">
      <c r="A36" s="13" t="inlineStr">
        <is>
          <t>Price per share (DCF Base, ¥)</t>
        </is>
      </c>
      <c r="B36" s="54" t="n">
        <v>16.6183181751894</v>
      </c>
    </row>
    <row r="37">
      <c r="A37" s="13" t="inlineStr">
        <is>
          <t>Current price (¥)</t>
        </is>
      </c>
      <c r="B37" s="55" t="n">
        <v>30</v>
      </c>
    </row>
    <row r="38">
      <c r="A38" s="13" t="inlineStr">
        <is>
          <t>DCF implied upside/(downside)</t>
        </is>
      </c>
      <c r="B38" s="56" t="n">
        <v>-0.44605606082702</v>
      </c>
    </row>
    <row r="39">
      <c r="A39" s="13" t="inlineStr">
        <is>
          <t>Terminal value as % of EV</t>
        </is>
      </c>
      <c r="B39" s="56" t="n">
        <v>0.8453141449020125</v>
      </c>
    </row>
    <row r="41">
      <c r="A41" s="31" t="inlineStr">
        <is>
          <t>DCF — Scenarios</t>
        </is>
      </c>
      <c r="B41" s="31" t="inlineStr">
        <is>
          <t>Case</t>
        </is>
      </c>
      <c r="C41" s="31" t="inlineStr">
        <is>
          <t>WACC</t>
        </is>
      </c>
      <c r="D41" s="31" t="inlineStr">
        <is>
          <t>g</t>
        </is>
      </c>
      <c r="E41" s="31" t="inlineStr">
        <is>
          <t>EV (mn)</t>
        </is>
      </c>
      <c r="F41" s="31" t="inlineStr">
        <is>
          <t>Equity (mn)</t>
        </is>
      </c>
      <c r="G41" s="31" t="inlineStr">
        <is>
          <t>Price/share (¥)</t>
        </is>
      </c>
      <c r="H41" s="31" t="inlineStr">
        <is>
          <t>Upside</t>
        </is>
      </c>
    </row>
    <row r="42">
      <c r="A42" s="50" t="inlineStr">
        <is>
          <t>Bull</t>
        </is>
      </c>
      <c r="B42" s="57" t="n">
        <v>0.0917056025369979</v>
      </c>
      <c r="C42" s="57" t="n">
        <v>0.03</v>
      </c>
      <c r="D42" s="58" t="n">
        <v>21085.94720562943</v>
      </c>
      <c r="E42" s="58" t="n">
        <v>20485.94720562943</v>
      </c>
      <c r="F42" s="59" t="n">
        <v>35.0786767219682</v>
      </c>
      <c r="G42" s="57" t="n">
        <v>0.1692892240656068</v>
      </c>
    </row>
    <row r="43">
      <c r="A43" s="50" t="inlineStr">
        <is>
          <t>Base</t>
        </is>
      </c>
      <c r="B43" s="57" t="n">
        <v>0.09670560253699791</v>
      </c>
      <c r="C43" s="57" t="n">
        <v>0.025</v>
      </c>
      <c r="D43" s="58" t="n">
        <v>10305.09781431061</v>
      </c>
      <c r="E43" s="58" t="n">
        <v>9705.097814310609</v>
      </c>
      <c r="F43" s="59" t="n">
        <v>16.6183181751894</v>
      </c>
      <c r="G43" s="57" t="n">
        <v>-0.44605606082702</v>
      </c>
    </row>
    <row r="44">
      <c r="A44" s="50" t="inlineStr">
        <is>
          <t>Bear</t>
        </is>
      </c>
      <c r="B44" s="57" t="n">
        <v>0.1067056025369979</v>
      </c>
      <c r="C44" s="57" t="n">
        <v>0.02</v>
      </c>
      <c r="D44" s="58" t="n">
        <v>3337.036666620093</v>
      </c>
      <c r="E44" s="58" t="n">
        <v>2537.036666620093</v>
      </c>
      <c r="F44" s="59" t="n">
        <v>4.344240867500159</v>
      </c>
      <c r="G44" s="57" t="n">
        <v>-0.855191971083328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DCF Sensitivity — Price per share (¥)</t>
        </is>
      </c>
    </row>
    <row r="2">
      <c r="A2" s="10" t="inlineStr">
        <is>
          <t>Base case: WACC = 9.67%, g = 2.5% → ¥16.62</t>
        </is>
      </c>
    </row>
    <row r="4">
      <c r="A4" s="32" t="inlineStr">
        <is>
          <t>WACC ↓ / Terminal g →</t>
        </is>
      </c>
      <c r="B4" s="60" t="n">
        <v>0.005</v>
      </c>
      <c r="C4" s="60" t="n">
        <v>0.015</v>
      </c>
      <c r="D4" s="60" t="n">
        <v>0.02</v>
      </c>
      <c r="E4" s="60" t="n">
        <v>0.025</v>
      </c>
      <c r="F4" s="60" t="n">
        <v>0.03</v>
      </c>
      <c r="G4" s="60" t="n">
        <v>0.035</v>
      </c>
      <c r="H4" s="60" t="n">
        <v>0.04</v>
      </c>
    </row>
    <row r="5">
      <c r="A5" s="60" t="n">
        <v>0.08170560253699791</v>
      </c>
      <c r="B5" s="59" t="n">
        <v>16.7768305743523</v>
      </c>
      <c r="C5" s="59" t="n">
        <v>19.01620139416464</v>
      </c>
      <c r="D5" s="59" t="n">
        <v>20.40807085961945</v>
      </c>
      <c r="E5" s="59" t="n">
        <v>22.04539569512287</v>
      </c>
      <c r="F5" s="59" t="n">
        <v>23.99938347529111</v>
      </c>
      <c r="G5" s="59" t="n">
        <v>26.37173386594496</v>
      </c>
      <c r="H5" s="59" t="n">
        <v>29.31291679859346</v>
      </c>
    </row>
    <row r="6">
      <c r="A6" s="60" t="n">
        <v>0.08670560253699791</v>
      </c>
      <c r="B6" s="59" t="n">
        <v>15.49637068621505</v>
      </c>
      <c r="C6" s="59" t="n">
        <v>17.40752762003389</v>
      </c>
      <c r="D6" s="59" t="n">
        <v>18.57798574410092</v>
      </c>
      <c r="E6" s="59" t="n">
        <v>19.93812812307255</v>
      </c>
      <c r="F6" s="59" t="n">
        <v>21.5381308188593</v>
      </c>
      <c r="G6" s="59" t="n">
        <v>23.44757825898335</v>
      </c>
      <c r="H6" s="59" t="n">
        <v>25.7658519076145</v>
      </c>
    </row>
    <row r="7">
      <c r="A7" s="60" t="n">
        <v>0.0917056025369979</v>
      </c>
      <c r="B7" s="59" t="n">
        <v>14.36747862356906</v>
      </c>
      <c r="C7" s="59" t="n">
        <v>16.01283078353597</v>
      </c>
      <c r="D7" s="59" t="n">
        <v>17.00760138281985</v>
      </c>
      <c r="E7" s="59" t="n">
        <v>18.15150047528122</v>
      </c>
      <c r="F7" s="59" t="n">
        <v>19.48077967026658</v>
      </c>
      <c r="G7" s="59" t="n">
        <v>21.04447647753604</v>
      </c>
      <c r="H7" s="59" t="n">
        <v>22.91059637447949</v>
      </c>
    </row>
    <row r="8">
      <c r="A8" s="60" t="n">
        <v>0.09670560253699791</v>
      </c>
      <c r="B8" s="59" t="n">
        <v>13.36526221309697</v>
      </c>
      <c r="C8" s="59" t="n">
        <v>14.79271841319528</v>
      </c>
      <c r="D8" s="59" t="n">
        <v>15.64601808489819</v>
      </c>
      <c r="E8" s="61" t="n">
        <v>16.6183181751894</v>
      </c>
      <c r="F8" s="59" t="n">
        <v>17.73637814970501</v>
      </c>
      <c r="G8" s="59" t="n">
        <v>19.03563074345569</v>
      </c>
      <c r="H8" s="59" t="n">
        <v>20.56400577584071</v>
      </c>
    </row>
    <row r="9">
      <c r="A9" s="60" t="n">
        <v>0.1017056025369979</v>
      </c>
      <c r="B9" s="59" t="n">
        <v>12.46998042604143</v>
      </c>
      <c r="C9" s="59" t="n">
        <v>13.71688788169898</v>
      </c>
      <c r="D9" s="59" t="n">
        <v>14.45479894938028</v>
      </c>
      <c r="E9" s="59" t="n">
        <v>15.28891043049622</v>
      </c>
      <c r="F9" s="59" t="n">
        <v>16.23934636208806</v>
      </c>
      <c r="G9" s="59" t="n">
        <v>17.33226446840648</v>
      </c>
      <c r="H9" s="59" t="n">
        <v>18.60230070685287</v>
      </c>
    </row>
    <row r="10">
      <c r="A10" s="60" t="n">
        <v>0.1067056025369979</v>
      </c>
      <c r="B10" s="59" t="n">
        <v>11.66577707721106</v>
      </c>
      <c r="C10" s="59" t="n">
        <v>12.76164829108608</v>
      </c>
      <c r="D10" s="59" t="n">
        <v>13.40437632046891</v>
      </c>
      <c r="E10" s="59" t="n">
        <v>14.12576823695688</v>
      </c>
      <c r="F10" s="59" t="n">
        <v>14.94120698869916</v>
      </c>
      <c r="G10" s="59" t="n">
        <v>15.87036610857049</v>
      </c>
      <c r="H10" s="59" t="n">
        <v>16.9388177442925</v>
      </c>
    </row>
    <row r="11">
      <c r="A11" s="60" t="n">
        <v>0.1117056025369979</v>
      </c>
      <c r="B11" s="59" t="n">
        <v>10.93977054565215</v>
      </c>
      <c r="C11" s="59" t="n">
        <v>11.90821112316346</v>
      </c>
      <c r="D11" s="59" t="n">
        <v>12.47163381755628</v>
      </c>
      <c r="E11" s="59" t="n">
        <v>13.10003762942098</v>
      </c>
      <c r="F11" s="59" t="n">
        <v>13.80535217841417</v>
      </c>
      <c r="G11" s="59" t="n">
        <v>14.60261757919201</v>
      </c>
      <c r="H11" s="59" t="n">
        <v>15.51106890862395</v>
      </c>
    </row>
    <row r="14">
      <c r="A14" s="4" t="inlineStr">
        <is>
          <t>Sensitivity 2: 2030E Revenue CAGR × Terminal EBITDA margin</t>
        </is>
      </c>
    </row>
    <row r="15">
      <c r="A15" s="32" t="inlineStr">
        <is>
          <t>CAGR ↓ / Margin →</t>
        </is>
      </c>
      <c r="B15" s="60" t="n">
        <v>0.13</v>
      </c>
      <c r="C15" s="60" t="n">
        <v>0.15</v>
      </c>
      <c r="D15" s="60" t="n">
        <v>0.165</v>
      </c>
      <c r="E15" s="60" t="n">
        <v>0.18</v>
      </c>
      <c r="F15" s="60" t="n">
        <v>0.2</v>
      </c>
    </row>
    <row r="16">
      <c r="A16" s="60" t="n">
        <v>0.05</v>
      </c>
      <c r="B16" s="59" t="n">
        <v>11.84192606604087</v>
      </c>
      <c r="C16" s="59" t="n">
        <v>13.821821962397</v>
      </c>
      <c r="D16" s="59" t="n">
        <v>15.3067438846641</v>
      </c>
      <c r="E16" s="59" t="n">
        <v>16.79166580693119</v>
      </c>
      <c r="F16" s="59" t="n">
        <v>18.77156170328732</v>
      </c>
    </row>
    <row r="17">
      <c r="A17" s="60" t="n">
        <v>0.08</v>
      </c>
      <c r="B17" s="59" t="n">
        <v>13.78850124391802</v>
      </c>
      <c r="C17" s="59" t="n">
        <v>16.06787024456294</v>
      </c>
      <c r="D17" s="59" t="n">
        <v>17.77739699504663</v>
      </c>
      <c r="E17" s="59" t="n">
        <v>19.48692374553032</v>
      </c>
      <c r="F17" s="59" t="n">
        <v>21.76629274617524</v>
      </c>
    </row>
    <row r="18">
      <c r="A18" s="60" t="n">
        <v>0.1</v>
      </c>
      <c r="B18" s="59" t="n">
        <v>15.21210232919323</v>
      </c>
      <c r="C18" s="59" t="n">
        <v>17.71048688141896</v>
      </c>
      <c r="D18" s="59" t="n">
        <v>19.58427529558825</v>
      </c>
      <c r="E18" s="59" t="n">
        <v>21.45806370975754</v>
      </c>
      <c r="F18" s="59" t="n">
        <v>23.95644826198327</v>
      </c>
    </row>
    <row r="19">
      <c r="A19" s="60" t="n">
        <v>0.135</v>
      </c>
      <c r="B19" s="59" t="n">
        <v>17.96538216043477</v>
      </c>
      <c r="C19" s="59" t="n">
        <v>20.88734822515919</v>
      </c>
      <c r="D19" s="59" t="n">
        <v>23.07882277370251</v>
      </c>
      <c r="E19" s="59" t="n">
        <v>25.27029732224582</v>
      </c>
      <c r="F19" s="59" t="n">
        <v>28.19226338697025</v>
      </c>
    </row>
    <row r="20">
      <c r="A20" s="60" t="n">
        <v>0.16</v>
      </c>
      <c r="B20" s="59" t="n">
        <v>20.15129612650168</v>
      </c>
      <c r="C20" s="59" t="n">
        <v>23.40955664754408</v>
      </c>
      <c r="D20" s="59" t="n">
        <v>25.85325203832589</v>
      </c>
      <c r="E20" s="59" t="n">
        <v>28.29694742910769</v>
      </c>
      <c r="F20" s="59" t="n">
        <v>31.5552079501501</v>
      </c>
    </row>
    <row r="21">
      <c r="A21" s="60" t="n">
        <v>0.19</v>
      </c>
      <c r="B21" s="59" t="n">
        <v>23.0352843003929</v>
      </c>
      <c r="C21" s="59" t="n">
        <v>26.73723530972625</v>
      </c>
      <c r="D21" s="59" t="n">
        <v>29.51369856672628</v>
      </c>
      <c r="E21" s="59" t="n">
        <v>32.29016182372629</v>
      </c>
      <c r="F21" s="59" t="n">
        <v>35.99211283305966</v>
      </c>
    </row>
    <row r="22">
      <c r="A22" s="60" t="n">
        <v>0.22</v>
      </c>
      <c r="B22" s="59" t="n">
        <v>26.22522961365792</v>
      </c>
      <c r="C22" s="59" t="n">
        <v>30.41794144041667</v>
      </c>
      <c r="D22" s="59" t="n">
        <v>33.56247531048573</v>
      </c>
      <c r="E22" s="59" t="n">
        <v>36.70700918055479</v>
      </c>
      <c r="F22" s="59" t="n">
        <v>40.89972100731355</v>
      </c>
    </row>
  </sheetData>
  <conditionalFormatting sqref="B5:H11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16:F22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Comparable Companies Analysis</t>
        </is>
      </c>
    </row>
    <row r="2">
      <c r="A2" s="10" t="inlineStr">
        <is>
          <t>Snapshot as of May 2026 · Mkt cap &amp; EV in CNY mn (Schaeffler in EUR mn for ratio purposes)</t>
        </is>
      </c>
    </row>
    <row r="4" ht="32" customHeight="1">
      <c r="A4" s="62" t="inlineStr">
        <is>
          <t>Company</t>
        </is>
      </c>
      <c r="B4" s="62" t="inlineStr">
        <is>
          <t>Ticker</t>
        </is>
      </c>
      <c r="C4" s="62" t="inlineStr">
        <is>
          <t>Business focus</t>
        </is>
      </c>
      <c r="D4" s="62" t="inlineStr">
        <is>
          <t>Mkt Cap (mn)</t>
        </is>
      </c>
      <c r="E4" s="62" t="inlineStr">
        <is>
          <t>EV (mn)</t>
        </is>
      </c>
      <c r="F4" s="62" t="inlineStr">
        <is>
          <t>EV/Rev LTM</t>
        </is>
      </c>
      <c r="G4" s="62" t="inlineStr">
        <is>
          <t>EV/Rev NTM</t>
        </is>
      </c>
      <c r="H4" s="62" t="inlineStr">
        <is>
          <t>EV/EBITDA LTM</t>
        </is>
      </c>
      <c r="I4" s="62" t="inlineStr">
        <is>
          <t>EV/EBITDA NTM</t>
        </is>
      </c>
      <c r="J4" s="62" t="inlineStr">
        <is>
          <t>P/E LTM</t>
        </is>
      </c>
      <c r="K4" s="62" t="inlineStr">
        <is>
          <t>P/E NTM</t>
        </is>
      </c>
      <c r="L4" s="62" t="inlineStr">
        <is>
          <t>Rev growth</t>
        </is>
      </c>
      <c r="M4" s="62" t="inlineStr">
        <is>
          <t>EBITDA margin</t>
        </is>
      </c>
    </row>
    <row r="5">
      <c r="A5" s="13" t="inlineStr">
        <is>
          <t>拓普集团 Tuopu</t>
        </is>
      </c>
      <c r="B5" s="13" t="inlineStr">
        <is>
          <t>SSE:601689</t>
        </is>
      </c>
      <c r="C5" s="10" t="inlineStr">
        <is>
          <t>NEV body parts, T-1 to Tesla</t>
        </is>
      </c>
      <c r="D5" s="63" t="n">
        <v>102000</v>
      </c>
      <c r="E5" s="63" t="n">
        <v>100000</v>
      </c>
      <c r="F5" s="64" t="n">
        <v>3.773584905660377</v>
      </c>
      <c r="G5" s="64" t="n">
        <v>3.076923076923077</v>
      </c>
      <c r="H5" s="64" t="n">
        <v>23.25581395348837</v>
      </c>
      <c r="I5" s="64" t="n">
        <v>18.51851851851852</v>
      </c>
      <c r="J5" s="64" t="n">
        <v>34</v>
      </c>
      <c r="K5" s="64" t="n">
        <v>27.56756756756757</v>
      </c>
      <c r="L5" s="57" t="n">
        <v>0.2</v>
      </c>
      <c r="M5" s="57" t="n">
        <v>0.166</v>
      </c>
    </row>
    <row r="6">
      <c r="A6" s="13" t="inlineStr">
        <is>
          <t>万向钱潮 Wanxiang</t>
        </is>
      </c>
      <c r="B6" s="13" t="inlineStr">
        <is>
          <t>SZSE:000559</t>
        </is>
      </c>
      <c r="C6" s="10" t="inlineStr">
        <is>
          <t>Auto bearings + drive shafts</t>
        </is>
      </c>
      <c r="D6" s="63" t="n">
        <v>18800</v>
      </c>
      <c r="E6" s="63" t="n">
        <v>19400</v>
      </c>
      <c r="F6" s="64" t="n">
        <v>1.552</v>
      </c>
      <c r="G6" s="64" t="n">
        <v>1.416058394160584</v>
      </c>
      <c r="H6" s="64" t="n">
        <v>16.16666666666667</v>
      </c>
      <c r="I6" s="64" t="n">
        <v>14.05797101449275</v>
      </c>
      <c r="J6" s="64" t="n">
        <v>28.05970149253731</v>
      </c>
      <c r="K6" s="64" t="n">
        <v>23.5</v>
      </c>
      <c r="L6" s="57" t="n">
        <v>0.1</v>
      </c>
      <c r="M6" s="57" t="n">
        <v>0.1</v>
      </c>
    </row>
    <row r="7">
      <c r="A7" s="13" t="inlineStr">
        <is>
          <t>恒立液压 Hengli</t>
        </is>
      </c>
      <c r="B7" s="13" t="inlineStr">
        <is>
          <t>SSE:601100</t>
        </is>
      </c>
      <c r="C7" s="10" t="inlineStr">
        <is>
          <t>Linear motion + hydraulics</t>
        </is>
      </c>
      <c r="D7" s="63" t="n">
        <v>77500</v>
      </c>
      <c r="E7" s="63" t="n">
        <v>74000</v>
      </c>
      <c r="F7" s="64" t="n">
        <v>7.326732673267327</v>
      </c>
      <c r="G7" s="64" t="n">
        <v>6.434782608695652</v>
      </c>
      <c r="H7" s="64" t="n">
        <v>25.51724137931035</v>
      </c>
      <c r="I7" s="64" t="n">
        <v>22.42424242424243</v>
      </c>
      <c r="J7" s="64" t="n">
        <v>35.22727272727273</v>
      </c>
      <c r="K7" s="64" t="n">
        <v>31</v>
      </c>
      <c r="L7" s="57" t="n">
        <v>0.14</v>
      </c>
      <c r="M7" s="57" t="n">
        <v>0.286</v>
      </c>
    </row>
    <row r="8">
      <c r="A8" s="13" t="inlineStr">
        <is>
          <t>贝斯特 Beste</t>
        </is>
      </c>
      <c r="B8" s="13" t="inlineStr">
        <is>
          <t>SZSE:300580</t>
        </is>
      </c>
      <c r="C8" s="10" t="inlineStr">
        <is>
          <t>Precision auto parts + robot screws</t>
        </is>
      </c>
      <c r="D8" s="63" t="n">
        <v>8500</v>
      </c>
      <c r="E8" s="63" t="n">
        <v>8650</v>
      </c>
      <c r="F8" s="64" t="n">
        <v>5.088235294117647</v>
      </c>
      <c r="G8" s="64" t="n">
        <v>4.119047619047619</v>
      </c>
      <c r="H8" s="64" t="n">
        <v>22.17948717948718</v>
      </c>
      <c r="I8" s="64" t="n">
        <v>17.3</v>
      </c>
      <c r="J8" s="64" t="n">
        <v>30.35714285714286</v>
      </c>
      <c r="K8" s="64" t="n">
        <v>24.28571428571428</v>
      </c>
      <c r="L8" s="57" t="n">
        <v>0.24</v>
      </c>
      <c r="M8" s="57" t="n">
        <v>0.236</v>
      </c>
    </row>
    <row r="9">
      <c r="A9" s="13" t="inlineStr">
        <is>
          <t>五洲新春 XCC</t>
        </is>
      </c>
      <c r="B9" s="13" t="inlineStr">
        <is>
          <t>SSE:603667</t>
        </is>
      </c>
      <c r="C9" s="10" t="inlineStr">
        <is>
          <t>Bearings + roller screws</t>
        </is>
      </c>
      <c r="D9" s="63" t="n">
        <v>12500</v>
      </c>
      <c r="E9" s="63" t="n">
        <v>13100</v>
      </c>
      <c r="F9" s="64" t="n">
        <v>3.638888888888889</v>
      </c>
      <c r="G9" s="64" t="n">
        <v>2.977272727272727</v>
      </c>
      <c r="H9" s="64" t="n">
        <v>29.11111111111111</v>
      </c>
      <c r="I9" s="64" t="n">
        <v>21.83333333333333</v>
      </c>
      <c r="J9" s="64" t="n">
        <v>73.52941176470588</v>
      </c>
      <c r="K9" s="64" t="n">
        <v>52.08333333333334</v>
      </c>
      <c r="L9" s="57" t="n">
        <v>0.22</v>
      </c>
      <c r="M9" s="57" t="n">
        <v>0.136</v>
      </c>
    </row>
    <row r="10">
      <c r="A10" s="13" t="inlineStr">
        <is>
          <t>北特科技 Beite</t>
        </is>
      </c>
      <c r="B10" s="13" t="inlineStr">
        <is>
          <t>SSE:603009</t>
        </is>
      </c>
      <c r="C10" s="10" t="inlineStr">
        <is>
          <t>Roller screws (pure-play)</t>
        </is>
      </c>
      <c r="D10" s="63" t="n">
        <v>18500</v>
      </c>
      <c r="E10" s="63" t="n">
        <v>18900</v>
      </c>
      <c r="F10" s="64" t="n">
        <v>7.875</v>
      </c>
      <c r="G10" s="64" t="n">
        <v>6.517241379310345</v>
      </c>
      <c r="H10" s="64" t="n">
        <v>85.90909090909091</v>
      </c>
      <c r="I10" s="64" t="n">
        <v>55.58823529411764</v>
      </c>
      <c r="J10" s="64" t="n">
        <v>217.6470588235294</v>
      </c>
      <c r="K10" s="64" t="n">
        <v>119.3548387096774</v>
      </c>
      <c r="L10" s="57" t="n">
        <v>0.21</v>
      </c>
      <c r="M10" s="57" t="n">
        <v>0.117</v>
      </c>
    </row>
    <row r="11">
      <c r="A11" s="13" t="inlineStr">
        <is>
          <t>双环传动 SHRH</t>
        </is>
      </c>
      <c r="B11" s="13" t="inlineStr">
        <is>
          <t>SZSE:002472</t>
        </is>
      </c>
      <c r="C11" s="10" t="inlineStr">
        <is>
          <t>Precision gears (robot/EV)</t>
        </is>
      </c>
      <c r="D11" s="63" t="n">
        <v>41000</v>
      </c>
      <c r="E11" s="63" t="n">
        <v>41900</v>
      </c>
      <c r="F11" s="64" t="n">
        <v>3.809090909090909</v>
      </c>
      <c r="G11" s="64" t="n">
        <v>3.352</v>
      </c>
      <c r="H11" s="64" t="n">
        <v>23.94285714285714</v>
      </c>
      <c r="I11" s="64" t="n">
        <v>20.4390243902439</v>
      </c>
      <c r="J11" s="64" t="n">
        <v>37.27272727272727</v>
      </c>
      <c r="K11" s="64" t="n">
        <v>30.82706766917293</v>
      </c>
      <c r="L11" s="57" t="n">
        <v>0.14</v>
      </c>
      <c r="M11" s="57" t="n">
        <v>0.164</v>
      </c>
    </row>
    <row r="12">
      <c r="A12" s="13" t="inlineStr">
        <is>
          <t>鼎智科技 Dingzhi</t>
        </is>
      </c>
      <c r="B12" s="13" t="inlineStr">
        <is>
          <t>BSE:873593</t>
        </is>
      </c>
      <c r="C12" s="10" t="inlineStr">
        <is>
          <t>Linear motors + screws</t>
        </is>
      </c>
      <c r="D12" s="63" t="n">
        <v>9500</v>
      </c>
      <c r="E12" s="63" t="n">
        <v>9150</v>
      </c>
      <c r="F12" s="64" t="n">
        <v>14.07692307692308</v>
      </c>
      <c r="G12" s="64" t="n">
        <v>11.02409638554217</v>
      </c>
      <c r="H12" s="64" t="n">
        <v>55.45454545454545</v>
      </c>
      <c r="I12" s="64" t="n">
        <v>41.59090909090909</v>
      </c>
      <c r="J12" s="64" t="n">
        <v>79.16666666666667</v>
      </c>
      <c r="K12" s="64" t="n">
        <v>61.29032258064516</v>
      </c>
      <c r="L12" s="57" t="n">
        <v>0.28</v>
      </c>
      <c r="M12" s="57" t="n">
        <v>0.265</v>
      </c>
    </row>
    <row r="13">
      <c r="A13" s="13" t="inlineStr">
        <is>
          <t>Schaeffler</t>
        </is>
      </c>
      <c r="B13" s="13" t="inlineStr">
        <is>
          <t>FRA:SHA</t>
        </is>
      </c>
      <c r="C13" s="10" t="inlineStr">
        <is>
          <t>Bearings + auto (global)</t>
        </is>
      </c>
      <c r="D13" s="63" t="n">
        <v>45000</v>
      </c>
      <c r="E13" s="63" t="n">
        <v>57000</v>
      </c>
      <c r="F13" s="64" t="n">
        <v>0.4384615384615385</v>
      </c>
      <c r="G13" s="64" t="n">
        <v>0.4130434782608696</v>
      </c>
      <c r="H13" s="64" t="n">
        <v>3.67741935483871</v>
      </c>
      <c r="I13" s="64" t="n">
        <v>3.352941176470588</v>
      </c>
      <c r="J13" s="64" t="n">
        <v>6.428571428571429</v>
      </c>
      <c r="K13" s="64" t="n">
        <v>5.487804878048781</v>
      </c>
      <c r="L13" s="57" t="n">
        <v>0.06</v>
      </c>
      <c r="M13" s="57" t="n">
        <v>0.123</v>
      </c>
    </row>
    <row r="15">
      <c r="A15" s="31" t="inlineStr">
        <is>
          <t>STATISTICAL SUMMARY</t>
        </is>
      </c>
      <c r="B15" s="65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</row>
    <row r="16">
      <c r="A16" s="4" t="inlineStr">
        <is>
          <t>Max</t>
        </is>
      </c>
      <c r="F16" s="66" t="n">
        <v>14.07692307692308</v>
      </c>
      <c r="G16" s="66" t="n">
        <v>11.02409638554217</v>
      </c>
      <c r="H16" s="66" t="n">
        <v>85.90909090909091</v>
      </c>
      <c r="I16" s="66" t="n">
        <v>55.58823529411764</v>
      </c>
      <c r="J16" s="66" t="n">
        <v>217.6470588235294</v>
      </c>
      <c r="K16" s="66" t="n">
        <v>119.3548387096774</v>
      </c>
      <c r="L16" s="67" t="n">
        <v>0.28</v>
      </c>
      <c r="M16" s="67" t="n">
        <v>0.286</v>
      </c>
    </row>
    <row r="17">
      <c r="A17" s="4" t="inlineStr">
        <is>
          <t>75th %ile</t>
        </is>
      </c>
      <c r="F17" s="66" t="n">
        <v>7.600866336633663</v>
      </c>
      <c r="G17" s="66" t="n">
        <v>6.476011994002999</v>
      </c>
      <c r="H17" s="66" t="n">
        <v>42.28282828282828</v>
      </c>
      <c r="I17" s="66" t="n">
        <v>32.00757575757576</v>
      </c>
      <c r="J17" s="66" t="n">
        <v>76.34803921568627</v>
      </c>
      <c r="K17" s="66" t="n">
        <v>56.68682795698925</v>
      </c>
      <c r="L17" s="67" t="n">
        <v>0.23</v>
      </c>
      <c r="M17" s="67" t="n">
        <v>0.2505</v>
      </c>
    </row>
    <row r="18">
      <c r="A18" s="4" t="inlineStr">
        <is>
          <t>Median</t>
        </is>
      </c>
      <c r="F18" s="68" t="n">
        <v>3.809090909090909</v>
      </c>
      <c r="G18" s="68" t="n">
        <v>3.352</v>
      </c>
      <c r="H18" s="68" t="n">
        <v>23.94285714285714</v>
      </c>
      <c r="I18" s="68" t="n">
        <v>20.4390243902439</v>
      </c>
      <c r="J18" s="68" t="n">
        <v>35.22727272727273</v>
      </c>
      <c r="K18" s="68" t="n">
        <v>30.82706766917293</v>
      </c>
      <c r="L18" s="69" t="n">
        <v>0.2</v>
      </c>
      <c r="M18" s="69" t="n">
        <v>0.164</v>
      </c>
    </row>
    <row r="19">
      <c r="A19" s="4" t="inlineStr">
        <is>
          <t>25th %ile</t>
        </is>
      </c>
      <c r="F19" s="66" t="n">
        <v>2.595444444444444</v>
      </c>
      <c r="G19" s="66" t="n">
        <v>2.196665560716656</v>
      </c>
      <c r="H19" s="66" t="n">
        <v>19.17307692307692</v>
      </c>
      <c r="I19" s="66" t="n">
        <v>15.67898550724638</v>
      </c>
      <c r="J19" s="66" t="n">
        <v>29.20842217484009</v>
      </c>
      <c r="K19" s="66" t="n">
        <v>23.89285714285714</v>
      </c>
      <c r="L19" s="67" t="n">
        <v>0.12</v>
      </c>
      <c r="M19" s="67" t="n">
        <v>0.12</v>
      </c>
    </row>
    <row r="20">
      <c r="A20" s="4" t="inlineStr">
        <is>
          <t>Min</t>
        </is>
      </c>
      <c r="F20" s="66" t="n">
        <v>0.4384615384615385</v>
      </c>
      <c r="G20" s="66" t="n">
        <v>0.4130434782608696</v>
      </c>
      <c r="H20" s="66" t="n">
        <v>3.67741935483871</v>
      </c>
      <c r="I20" s="66" t="n">
        <v>3.352941176470588</v>
      </c>
      <c r="J20" s="66" t="n">
        <v>6.428571428571429</v>
      </c>
      <c r="K20" s="66" t="n">
        <v>5.487804878048781</v>
      </c>
      <c r="L20" s="67" t="n">
        <v>0.06</v>
      </c>
      <c r="M20" s="67" t="n">
        <v>0.1</v>
      </c>
    </row>
    <row r="21">
      <c r="A21" s="4" t="inlineStr">
        <is>
          <t>Mean</t>
        </is>
      </c>
      <c r="F21" s="66" t="n">
        <v>5.28654636515664</v>
      </c>
      <c r="G21" s="66" t="n">
        <v>4.370051741023671</v>
      </c>
      <c r="H21" s="66" t="n">
        <v>31.6904703501551</v>
      </c>
      <c r="I21" s="66" t="n">
        <v>23.90057502692536</v>
      </c>
      <c r="J21" s="66" t="n">
        <v>60.18761700368373</v>
      </c>
      <c r="K21" s="66" t="n">
        <v>41.71073878046217</v>
      </c>
      <c r="L21" s="67" t="n">
        <v>0.1766666666666667</v>
      </c>
      <c r="M21" s="67" t="n">
        <v>0.177</v>
      </c>
    </row>
    <row r="23">
      <c r="A23" s="7" t="inlineStr">
        <is>
          <t>双林股份 Shuanglin</t>
        </is>
      </c>
      <c r="B23" s="7" t="inlineStr">
        <is>
          <t>SZSE:300100</t>
        </is>
      </c>
      <c r="C23" s="10" t="inlineStr">
        <is>
          <t>HDM + bearings + e-drive + robot screws</t>
        </is>
      </c>
      <c r="D23" s="70" t="n">
        <v>17520</v>
      </c>
      <c r="E23" s="70" t="n">
        <v>18120</v>
      </c>
      <c r="F23" s="71" t="n">
        <v>3.304157549234136</v>
      </c>
      <c r="G23" s="71" t="n">
        <v>3.276080274814681</v>
      </c>
      <c r="H23" s="71" t="n">
        <v>22.76381909547739</v>
      </c>
      <c r="I23" s="71" t="n">
        <v>25.55712270803949</v>
      </c>
      <c r="J23" s="71" t="n">
        <v>34.83101391650099</v>
      </c>
      <c r="K23" s="71" t="n">
        <v>43.90977443609022</v>
      </c>
      <c r="L23" s="72" t="n">
        <v>0.135</v>
      </c>
      <c r="M23" s="72" t="n">
        <v>0.145</v>
      </c>
    </row>
    <row r="25">
      <c r="A25" s="31" t="inlineStr">
        <is>
          <t>IMPLIED PRICE PER SHARE FROM PEER MULTIPLES (¥)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</row>
    <row r="26">
      <c r="A26" s="50" t="inlineStr">
        <is>
          <t>Multiple</t>
        </is>
      </c>
      <c r="B26" s="50" t="inlineStr">
        <is>
          <t>Bear (25th %)</t>
        </is>
      </c>
      <c r="C26" s="50" t="inlineStr">
        <is>
          <t>Base (Median)</t>
        </is>
      </c>
      <c r="D26" s="50" t="inlineStr">
        <is>
          <t>Bull (75th %)</t>
        </is>
      </c>
    </row>
    <row r="27">
      <c r="A27" s="13" t="inlineStr">
        <is>
          <t>EV/EBITDA NTM applied to ¥709m EBITDA</t>
        </is>
      </c>
      <c r="B27" s="59" t="n">
        <v>18.00753548739329</v>
      </c>
      <c r="C27" s="59" t="n">
        <v>23.78641830938857</v>
      </c>
      <c r="D27" s="59" t="n">
        <v>37.83111508924865</v>
      </c>
    </row>
    <row r="28">
      <c r="A28" s="13" t="inlineStr">
        <is>
          <t>EV/Revenue NTM applied to ¥5,531m revenue</t>
        </is>
      </c>
      <c r="B28" s="59" t="n">
        <v>19.77698153480107</v>
      </c>
      <c r="C28" s="59" t="n">
        <v>30.71902739726027</v>
      </c>
      <c r="D28" s="59" t="n">
        <v>60.30620263498388</v>
      </c>
    </row>
    <row r="29">
      <c r="A29" s="13" t="inlineStr">
        <is>
          <t>P/E NTM applied to ¥399m 2026E NI</t>
        </is>
      </c>
      <c r="B29" s="59" t="n">
        <v>16.32405821917808</v>
      </c>
      <c r="C29" s="59" t="n">
        <v>21.06164383561644</v>
      </c>
      <c r="D29" s="59" t="n">
        <v>38.7295280048608</v>
      </c>
    </row>
    <row r="30">
      <c r="A30" s="13" t="inlineStr">
        <is>
          <t>P/E forward applied to ¥519m 2027E NI</t>
        </is>
      </c>
      <c r="B30" s="59" t="n">
        <v>21.23354941291585</v>
      </c>
      <c r="C30" s="59" t="n">
        <v>27.39597280873416</v>
      </c>
      <c r="D30" s="59" t="n">
        <v>50.37750635218736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Valuation Summary &amp; 12-Month Price Target</t>
        </is>
      </c>
    </row>
    <row r="2">
      <c r="A2" s="73" t="inlineStr">
        <is>
          <t>Current price: ¥30.00 · 12-month price target: ¥24 · Rating: SELL</t>
        </is>
      </c>
    </row>
    <row r="4">
      <c r="A4" s="31" t="inlineStr">
        <is>
          <t>Method</t>
        </is>
      </c>
      <c r="B4" s="32" t="inlineStr">
        <is>
          <t>Low (¥)</t>
        </is>
      </c>
      <c r="C4" s="32" t="inlineStr">
        <is>
          <t>Base (¥)</t>
        </is>
      </c>
      <c r="D4" s="32" t="inlineStr">
        <is>
          <t>High (¥)</t>
        </is>
      </c>
      <c r="E4" s="32" t="inlineStr">
        <is>
          <t>Weight</t>
        </is>
      </c>
      <c r="F4" s="32" t="inlineStr">
        <is>
          <t>Weighted (Base)</t>
        </is>
      </c>
      <c r="G4" s="32" t="inlineStr">
        <is>
          <t>Notes</t>
        </is>
      </c>
    </row>
    <row r="5">
      <c r="A5" s="13" t="inlineStr">
        <is>
          <t>DCF Base (WACC=9.7%, g=2.5%)</t>
        </is>
      </c>
      <c r="B5" s="59" t="n">
        <v>14.95648635767046</v>
      </c>
      <c r="C5" s="59" t="n">
        <v>16.6183181751894</v>
      </c>
      <c r="D5" s="59" t="n">
        <v>18.28014999270834</v>
      </c>
      <c r="E5" s="57" t="n">
        <v>0.2</v>
      </c>
      <c r="F5" s="59" t="n">
        <v>3.32366363503788</v>
      </c>
      <c r="G5" s="10" t="inlineStr">
        <is>
          <t>Reflects current business + base-case growth only; option value of robot wins not included</t>
        </is>
      </c>
    </row>
    <row r="6">
      <c r="A6" s="13" t="inlineStr">
        <is>
          <t>DCF Bull (robot win materializes)</t>
        </is>
      </c>
      <c r="B6" s="59" t="n">
        <v>31.57080904977138</v>
      </c>
      <c r="C6" s="59" t="n">
        <v>35.0786767219682</v>
      </c>
      <c r="D6" s="59" t="n">
        <v>38.58654439416502</v>
      </c>
      <c r="E6" s="57" t="n">
        <v>0.1</v>
      </c>
      <c r="F6" s="59" t="n">
        <v>3.50786767219682</v>
      </c>
      <c r="G6" s="10" t="inlineStr">
        <is>
          <t>Roller-screw量产 + corner-module scale → 28% CAGR, 18% EBITDA margin</t>
        </is>
      </c>
    </row>
    <row r="7">
      <c r="A7" s="13" t="inlineStr">
        <is>
          <t>EV/EBITDA NTM (peer median)</t>
        </is>
      </c>
      <c r="B7" s="59" t="n">
        <v>18.00753548739329</v>
      </c>
      <c r="C7" s="59" t="n">
        <v>23.78641830938857</v>
      </c>
      <c r="D7" s="59" t="n">
        <v>37.83111508924865</v>
      </c>
      <c r="E7" s="57" t="n">
        <v>0.2</v>
      </c>
      <c r="F7" s="59" t="n">
        <v>4.757283661877715</v>
      </c>
      <c r="G7" s="10" t="inlineStr">
        <is>
          <t>Peer median ~11x NTM EBITDA × ¥709m → ¥-share</t>
        </is>
      </c>
    </row>
    <row r="8">
      <c r="A8" s="13" t="inlineStr">
        <is>
          <t>P/E NTM 2026E (peer median)</t>
        </is>
      </c>
      <c r="B8" s="59" t="n">
        <v>16.32405821917808</v>
      </c>
      <c r="C8" s="59" t="n">
        <v>21.06164383561644</v>
      </c>
      <c r="D8" s="59" t="n">
        <v>38.7295280048608</v>
      </c>
      <c r="E8" s="57" t="n">
        <v>0.2</v>
      </c>
      <c r="F8" s="59" t="n">
        <v>4.212328767123288</v>
      </c>
      <c r="G8" s="10" t="inlineStr">
        <is>
          <t>Reflects depressed FY2026 NI from Q1 weakness — conservative</t>
        </is>
      </c>
    </row>
    <row r="9">
      <c r="A9" s="13" t="inlineStr">
        <is>
          <t>P/E forward 2027E (peer median)</t>
        </is>
      </c>
      <c r="B9" s="59" t="n">
        <v>21.23354941291585</v>
      </c>
      <c r="C9" s="59" t="n">
        <v>27.39597280873416</v>
      </c>
      <c r="D9" s="59" t="n">
        <v>50.37750635218736</v>
      </c>
      <c r="E9" s="57" t="n">
        <v>0.3</v>
      </c>
      <c r="F9" s="59" t="n">
        <v>8.218791842620249</v>
      </c>
      <c r="G9" s="10" t="inlineStr">
        <is>
          <t>Best 12m-forward anchor (mid-2027 NTM target)</t>
        </is>
      </c>
    </row>
    <row r="10">
      <c r="A10" s="74" t="inlineStr">
        <is>
          <t>Weighted Price Target</t>
        </is>
      </c>
      <c r="B10" s="75" t="n">
        <v>19.38476174170026</v>
      </c>
      <c r="C10" s="75" t="n">
        <v>24.01993557885595</v>
      </c>
      <c r="D10" s="75" t="n">
        <v>37.94006496243627</v>
      </c>
      <c r="E10" s="76" t="n">
        <v>1</v>
      </c>
      <c r="F10" s="75" t="n">
        <v>24.01993557885595</v>
      </c>
      <c r="G10" s="77" t="inlineStr">
        <is>
          <t>Sum of weighted bases</t>
        </is>
      </c>
    </row>
    <row r="12">
      <c r="A12" s="31" t="inlineStr">
        <is>
          <t>Football field — valuation ranges (¥)</t>
        </is>
      </c>
    </row>
    <row r="13">
      <c r="A13" s="50" t="inlineStr">
        <is>
          <t>Method</t>
        </is>
      </c>
      <c r="B13" s="50" t="inlineStr">
        <is>
          <t>Low</t>
        </is>
      </c>
      <c r="C13" s="50" t="inlineStr">
        <is>
          <t>High</t>
        </is>
      </c>
      <c r="D13" s="50" t="inlineStr">
        <is>
          <t>Width</t>
        </is>
      </c>
    </row>
    <row r="14">
      <c r="A14" s="13" t="inlineStr">
        <is>
          <t>DCF (Base ↔ Bull)</t>
        </is>
      </c>
      <c r="B14" s="59" t="n">
        <v>16.6183181751894</v>
      </c>
      <c r="C14" s="59" t="n">
        <v>35.0786767219682</v>
      </c>
      <c r="D14" s="59" t="n">
        <v>18.4603585467788</v>
      </c>
    </row>
    <row r="15">
      <c r="A15" s="13" t="inlineStr">
        <is>
          <t>EV/EBITDA NTM (q1 ↔ q3)</t>
        </is>
      </c>
      <c r="B15" s="59" t="n">
        <v>18.00753548739329</v>
      </c>
      <c r="C15" s="59" t="n">
        <v>37.83111508924865</v>
      </c>
      <c r="D15" s="59" t="n">
        <v>19.82357960185536</v>
      </c>
    </row>
    <row r="16">
      <c r="A16" s="13" t="inlineStr">
        <is>
          <t>EV/Revenue NTM (q1 ↔ q3)</t>
        </is>
      </c>
      <c r="B16" s="59" t="n">
        <v>19.77698153480107</v>
      </c>
      <c r="C16" s="59" t="n">
        <v>60.30620263498388</v>
      </c>
      <c r="D16" s="59" t="n">
        <v>40.52922110018281</v>
      </c>
    </row>
    <row r="17">
      <c r="A17" s="13" t="inlineStr">
        <is>
          <t>P/E NTM 2026E (q1 ↔ q3)</t>
        </is>
      </c>
      <c r="B17" s="59" t="n">
        <v>16.32405821917808</v>
      </c>
      <c r="C17" s="59" t="n">
        <v>38.7295280048608</v>
      </c>
      <c r="D17" s="59" t="n">
        <v>22.40546978568272</v>
      </c>
    </row>
    <row r="18">
      <c r="A18" s="13" t="inlineStr">
        <is>
          <t>P/E forward 2027E (q1 ↔ q3)</t>
        </is>
      </c>
      <c r="B18" s="59" t="n">
        <v>21.23354941291585</v>
      </c>
      <c r="C18" s="59" t="n">
        <v>50.37750635218736</v>
      </c>
      <c r="D18" s="59" t="n">
        <v>29.14395693927151</v>
      </c>
    </row>
    <row r="19">
      <c r="A19" s="13" t="inlineStr">
        <is>
          <t>52-week trading range</t>
        </is>
      </c>
      <c r="B19" s="59" t="n">
        <v>14.5</v>
      </c>
      <c r="C19" s="59" t="n">
        <v>49</v>
      </c>
      <c r="D19" s="59" t="n">
        <v>34.5</v>
      </c>
    </row>
    <row r="21">
      <c r="A21" s="7" t="inlineStr">
        <is>
          <t>Current price (¥)</t>
        </is>
      </c>
      <c r="B21" s="78" t="n">
        <v>30</v>
      </c>
    </row>
    <row r="22">
      <c r="A22" s="7" t="inlineStr">
        <is>
          <t>Price target (12-mo, ¥)</t>
        </is>
      </c>
      <c r="B22" s="79" t="n">
        <v>24</v>
      </c>
    </row>
    <row r="23">
      <c r="A23" s="7" t="inlineStr">
        <is>
          <t>Upside / (downside) %</t>
        </is>
      </c>
      <c r="B23" s="80" t="n">
        <v>-0.2</v>
      </c>
    </row>
    <row r="24">
      <c r="A24" s="7" t="inlineStr">
        <is>
          <t>Rating</t>
        </is>
      </c>
      <c r="B24" s="81" t="inlineStr">
        <is>
          <t>SELL</t>
        </is>
      </c>
    </row>
    <row r="26">
      <c r="A26" s="31" t="inlineStr">
        <is>
          <t>Probability-weighted scenarios</t>
        </is>
      </c>
    </row>
    <row r="27">
      <c r="A27" s="82" t="inlineStr">
        <is>
          <t>Scenario</t>
        </is>
      </c>
      <c r="B27" s="82" t="inlineStr">
        <is>
          <t>Prob.</t>
        </is>
      </c>
      <c r="C27" s="82" t="inlineStr">
        <is>
          <t>Revenue CAGR 25–30</t>
        </is>
      </c>
      <c r="D27" s="82" t="inlineStr">
        <is>
          <t>EBITDA mgn 30E</t>
        </is>
      </c>
      <c r="E27" s="82" t="inlineStr">
        <is>
          <t>DCF (¥)</t>
        </is>
      </c>
      <c r="F27" s="82" t="inlineStr">
        <is>
          <t>P/E NTM mult.</t>
        </is>
      </c>
      <c r="G27" s="82" t="inlineStr">
        <is>
          <t>Implied price (¥)</t>
        </is>
      </c>
      <c r="H27" s="82" t="inlineStr">
        <is>
          <t>Weighted (¥)</t>
        </is>
      </c>
    </row>
    <row r="28">
      <c r="A28" s="50" t="inlineStr">
        <is>
          <t>Bull</t>
        </is>
      </c>
      <c r="B28" s="57" t="n">
        <v>0.25</v>
      </c>
      <c r="C28" s="57" t="n">
        <v>0.2</v>
      </c>
      <c r="D28" s="57" t="n">
        <v>0.18</v>
      </c>
      <c r="E28" s="59" t="n">
        <v>35.0786767219682</v>
      </c>
      <c r="F28" s="64" t="n">
        <v>40</v>
      </c>
      <c r="G28" s="59" t="n">
        <v>40.1420780870115</v>
      </c>
      <c r="H28" s="59" t="n">
        <v>10.03551952175287</v>
      </c>
    </row>
    <row r="29">
      <c r="A29" s="50" t="inlineStr">
        <is>
          <t>Base</t>
        </is>
      </c>
      <c r="B29" s="57" t="n">
        <v>0.55</v>
      </c>
      <c r="C29" s="57" t="n">
        <v>0.14</v>
      </c>
      <c r="D29" s="57" t="n">
        <v>0.165</v>
      </c>
      <c r="E29" s="59" t="n">
        <v>16.6183181751894</v>
      </c>
      <c r="F29" s="64" t="n">
        <v>32</v>
      </c>
      <c r="G29" s="59" t="n">
        <v>22.52833716978648</v>
      </c>
      <c r="H29" s="59" t="n">
        <v>12.39058544338257</v>
      </c>
    </row>
    <row r="30">
      <c r="A30" s="50" t="inlineStr">
        <is>
          <t>Bear</t>
        </is>
      </c>
      <c r="B30" s="57" t="n">
        <v>0.2</v>
      </c>
      <c r="C30" s="57" t="n">
        <v>0.05</v>
      </c>
      <c r="D30" s="57" t="n">
        <v>0.13</v>
      </c>
      <c r="E30" s="59" t="n">
        <v>4.344240867500159</v>
      </c>
      <c r="F30" s="64" t="n">
        <v>20</v>
      </c>
      <c r="G30" s="59" t="n">
        <v>6.966640981695285</v>
      </c>
      <c r="H30" s="59" t="n">
        <v>1.393328196339057</v>
      </c>
    </row>
    <row r="31">
      <c r="A31" s="74" t="inlineStr">
        <is>
          <t>Probability-weighted target</t>
        </is>
      </c>
      <c r="H31" s="83" t="n">
        <v>23.8194331614745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2026-05-18T20:01:33Z</dcterms:created>
  <dcterms:modified xmlns:dcterms="http://purl.org/dc/terms/" xmlns:xsi="http://www.w3.org/2001/XMLSchema-instance" xsi:type="dcterms:W3CDTF">2026-05-18T20:56:38Z</dcterms:modified>
</cp:coreProperties>
</file>